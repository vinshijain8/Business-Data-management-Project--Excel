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sode\Downloads\"/>
    </mc:Choice>
  </mc:AlternateContent>
  <xr:revisionPtr revIDLastSave="0" documentId="8_{29CDEB5E-BF99-4700-8827-1C2287D29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Data" sheetId="1" r:id="rId1"/>
    <sheet name="ANALYSIS 1" sheetId="5" r:id="rId2"/>
    <sheet name="Sales Data" sheetId="2" r:id="rId3"/>
    <sheet name="ANALYSIS 2" sheetId="6" r:id="rId4"/>
    <sheet name="Waste Data" sheetId="3" r:id="rId5"/>
    <sheet name="ANALYSIS 3" sheetId="7" r:id="rId6"/>
    <sheet name="Competitor Data" sheetId="4" r:id="rId7"/>
    <sheet name="ANALYSIS 4" sheetId="8" r:id="rId8"/>
  </sheets>
  <definedNames>
    <definedName name="_xlnm._FilterDatabase" localSheetId="3" hidden="1">'ANALYSIS 2'!$B$40:$D$55</definedName>
    <definedName name="_xlnm._FilterDatabase" localSheetId="0" hidden="1">'Inventory Data'!$A$1:$A$201</definedName>
    <definedName name="_xlnm._FilterDatabase" localSheetId="2" hidden="1">'Sales Data'!$C$2:$C$601</definedName>
    <definedName name="_xlchart.v1.0" hidden="1">'ANALYSIS 4'!$C$15</definedName>
    <definedName name="_xlchart.v1.1" hidden="1">'ANALYSIS 4'!$C$16</definedName>
    <definedName name="_xlchart.v1.2" hidden="1">'ANALYSIS 4'!$C$17</definedName>
    <definedName name="_xlchart.v1.3" hidden="1">'ANALYSIS 4'!$D$14</definedName>
    <definedName name="_xlchart.v1.4" hidden="1">'ANALYSIS 4'!$D$15</definedName>
    <definedName name="_xlchart.v1.5" hidden="1">'ANALYSIS 4'!$D$16</definedName>
    <definedName name="_xlchart.v1.6" hidden="1">'ANALYSIS 4'!$D$17</definedName>
  </definedNames>
  <calcPr calcId="191029"/>
  <pivotCaches>
    <pivotCache cacheId="0" r:id="rId9"/>
  </pivotCaches>
</workbook>
</file>

<file path=xl/calcChain.xml><?xml version="1.0" encoding="utf-8"?>
<calcChain xmlns="http://schemas.openxmlformats.org/spreadsheetml/2006/main">
  <c r="D17" i="8" l="1"/>
  <c r="D16" i="8"/>
  <c r="D15" i="8"/>
  <c r="D5" i="8"/>
  <c r="D4" i="8"/>
  <c r="D3" i="8"/>
  <c r="E2" i="3"/>
  <c r="E3" i="3"/>
  <c r="E4" i="3"/>
  <c r="D5" i="7" s="1"/>
  <c r="E5" i="3"/>
  <c r="D6" i="7" s="1"/>
  <c r="E6" i="3"/>
  <c r="E7" i="3"/>
  <c r="E8" i="3"/>
  <c r="E9" i="3"/>
  <c r="E10" i="3"/>
  <c r="E11" i="3"/>
  <c r="E12" i="3"/>
  <c r="E13" i="3"/>
  <c r="C24" i="7"/>
  <c r="C23" i="7"/>
  <c r="C22" i="7"/>
  <c r="D4" i="7"/>
  <c r="D3" i="7"/>
  <c r="C6" i="7"/>
  <c r="C5" i="7"/>
  <c r="C4" i="7"/>
  <c r="C3" i="7"/>
  <c r="C46" i="6"/>
  <c r="C53" i="6"/>
  <c r="C51" i="6"/>
  <c r="C48" i="6"/>
  <c r="C52" i="6"/>
  <c r="C45" i="6"/>
  <c r="C54" i="6"/>
  <c r="C42" i="6"/>
  <c r="C55" i="6"/>
  <c r="C41" i="6"/>
  <c r="D43" i="6" s="1"/>
  <c r="C44" i="6"/>
  <c r="C49" i="6"/>
  <c r="C50" i="6"/>
  <c r="C43" i="6"/>
  <c r="C47" i="6"/>
  <c r="C25" i="6"/>
  <c r="C24" i="6"/>
  <c r="C23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F44" i="5"/>
  <c r="E44" i="5"/>
  <c r="D44" i="5"/>
  <c r="F43" i="5"/>
  <c r="E43" i="5"/>
  <c r="D43" i="5"/>
  <c r="D42" i="5"/>
  <c r="B37" i="5"/>
  <c r="C22" i="5"/>
  <c r="C21" i="5"/>
  <c r="C20" i="5"/>
  <c r="C3" i="5"/>
  <c r="C6" i="5"/>
  <c r="C5" i="5"/>
  <c r="C4" i="5"/>
  <c r="D54" i="6" l="1"/>
  <c r="D42" i="6"/>
  <c r="D55" i="6"/>
  <c r="D41" i="6"/>
  <c r="D44" i="6"/>
  <c r="D49" i="6"/>
  <c r="D45" i="6"/>
  <c r="D47" i="6"/>
  <c r="D46" i="6"/>
  <c r="D53" i="6"/>
  <c r="D51" i="6"/>
  <c r="D48" i="6"/>
  <c r="D52" i="6"/>
  <c r="D50" i="6"/>
</calcChain>
</file>

<file path=xl/sharedStrings.xml><?xml version="1.0" encoding="utf-8"?>
<sst xmlns="http://schemas.openxmlformats.org/spreadsheetml/2006/main" count="1835" uniqueCount="119">
  <si>
    <t>material_type</t>
  </si>
  <si>
    <t>quantity_kg</t>
  </si>
  <si>
    <t>unit_price</t>
  </si>
  <si>
    <t>total_cost</t>
  </si>
  <si>
    <t>daily_usage_kg</t>
  </si>
  <si>
    <t>remaining_stock_kg</t>
  </si>
  <si>
    <t>month</t>
  </si>
  <si>
    <t>Ink</t>
  </si>
  <si>
    <t>Silicone</t>
  </si>
  <si>
    <t>Adhesive</t>
  </si>
  <si>
    <t>Vinyl</t>
  </si>
  <si>
    <t>2024-11</t>
  </si>
  <si>
    <t>2024-12</t>
  </si>
  <si>
    <t>2024-10</t>
  </si>
  <si>
    <t>sale_date</t>
  </si>
  <si>
    <t>product_type</t>
  </si>
  <si>
    <t>sticker_name</t>
  </si>
  <si>
    <t>units_sold</t>
  </si>
  <si>
    <t>cost_price</t>
  </si>
  <si>
    <t>total_revenue</t>
  </si>
  <si>
    <t>profit</t>
  </si>
  <si>
    <t>profit_margin_pct</t>
  </si>
  <si>
    <t>Custom Design Stickers</t>
  </si>
  <si>
    <t>Cartoon Stickers</t>
  </si>
  <si>
    <t>Logo Stickers</t>
  </si>
  <si>
    <t>Strawberry</t>
  </si>
  <si>
    <t>Mickey</t>
  </si>
  <si>
    <t>Nobita</t>
  </si>
  <si>
    <t>Car</t>
  </si>
  <si>
    <t>Doraemon</t>
  </si>
  <si>
    <t>Adidas</t>
  </si>
  <si>
    <t>Shinchan</t>
  </si>
  <si>
    <t>Nike</t>
  </si>
  <si>
    <t>Flower</t>
  </si>
  <si>
    <t>Monkey</t>
  </si>
  <si>
    <t>Avinash</t>
  </si>
  <si>
    <t>X</t>
  </si>
  <si>
    <t>House</t>
  </si>
  <si>
    <t>Perman</t>
  </si>
  <si>
    <t>Ankit</t>
  </si>
  <si>
    <t>total_quantity_purchased</t>
  </si>
  <si>
    <t>total_waste_kg</t>
  </si>
  <si>
    <t>waste_percentage</t>
  </si>
  <si>
    <t>competitor_name</t>
  </si>
  <si>
    <t>period</t>
  </si>
  <si>
    <t>region</t>
  </si>
  <si>
    <t>price</t>
  </si>
  <si>
    <t>LabelX</t>
  </si>
  <si>
    <t>FootMark Labels</t>
  </si>
  <si>
    <t>InstaSticker</t>
  </si>
  <si>
    <t>South</t>
  </si>
  <si>
    <t>West</t>
  </si>
  <si>
    <t xml:space="preserve"> date</t>
  </si>
  <si>
    <t>product</t>
  </si>
  <si>
    <t>round off values</t>
  </si>
  <si>
    <t>ADHESIVE</t>
  </si>
  <si>
    <t>VINYL</t>
  </si>
  <si>
    <t>SILICONE</t>
  </si>
  <si>
    <t>INK</t>
  </si>
  <si>
    <t>ITEM</t>
  </si>
  <si>
    <t>SUM OF QUANITITY</t>
  </si>
  <si>
    <t>MONTH</t>
  </si>
  <si>
    <t>DECEMBER</t>
  </si>
  <si>
    <t>OCTOBER</t>
  </si>
  <si>
    <t>NOVEMBER</t>
  </si>
  <si>
    <t>QUANTITY PURCHASED</t>
  </si>
  <si>
    <t>INVENTORY TURNOVER</t>
  </si>
  <si>
    <t>calculated by = daily_usage_kg / ((quantity_kg + remaining_stock_kg) / 2)</t>
  </si>
  <si>
    <t xml:space="preserve">which means low turnover </t>
  </si>
  <si>
    <t>PRODUCT</t>
  </si>
  <si>
    <t>Row Labels</t>
  </si>
  <si>
    <t>Grand Total</t>
  </si>
  <si>
    <t>Sum of OCTOBER</t>
  </si>
  <si>
    <t>Sum of NOVEMBER</t>
  </si>
  <si>
    <t>Sum of DECEMBER</t>
  </si>
  <si>
    <t>AVG daily_usage_kg</t>
  </si>
  <si>
    <t>AVG remaining_stock_kg</t>
  </si>
  <si>
    <t xml:space="preserve"> </t>
  </si>
  <si>
    <t>Sticker name</t>
  </si>
  <si>
    <t>ankit</t>
  </si>
  <si>
    <t>car</t>
  </si>
  <si>
    <t>monkey</t>
  </si>
  <si>
    <t>x</t>
  </si>
  <si>
    <t>avinash</t>
  </si>
  <si>
    <t>doraemon</t>
  </si>
  <si>
    <t>perman</t>
  </si>
  <si>
    <t>shinchan</t>
  </si>
  <si>
    <t>nobita</t>
  </si>
  <si>
    <t>flower</t>
  </si>
  <si>
    <t>house</t>
  </si>
  <si>
    <t>adidas</t>
  </si>
  <si>
    <t>mickey</t>
  </si>
  <si>
    <t>nike</t>
  </si>
  <si>
    <t>strawberry</t>
  </si>
  <si>
    <t>TOTAL</t>
  </si>
  <si>
    <t>SUM OF EACH ORDER</t>
  </si>
  <si>
    <t>Profit</t>
  </si>
  <si>
    <t>Product type</t>
  </si>
  <si>
    <t>total revenue</t>
  </si>
  <si>
    <t>Cartoon</t>
  </si>
  <si>
    <t>Logo</t>
  </si>
  <si>
    <t>custom designs</t>
  </si>
  <si>
    <t>Total Revenue</t>
  </si>
  <si>
    <t>cumulative %</t>
  </si>
  <si>
    <t>Material type</t>
  </si>
  <si>
    <t>silicone</t>
  </si>
  <si>
    <t>Total waste</t>
  </si>
  <si>
    <t>Waste Percentage</t>
  </si>
  <si>
    <t>Month</t>
  </si>
  <si>
    <t>october</t>
  </si>
  <si>
    <t>november</t>
  </si>
  <si>
    <t>december</t>
  </si>
  <si>
    <t>competitor name</t>
  </si>
  <si>
    <t>sticker count</t>
  </si>
  <si>
    <t>product type</t>
  </si>
  <si>
    <t>Cartoon stickers</t>
  </si>
  <si>
    <t>Logo stickers</t>
  </si>
  <si>
    <t>Custom design stickers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</si>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</sst>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0.14597222222222223"/>
          <c:w val="0.87753018372703417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1'!$C$2</c:f>
              <c:strCache>
                <c:ptCount val="1"/>
                <c:pt idx="0">
                  <c:v>SUM OF QUANITITY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solidFill>
                <a:schemeClr val="accent2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2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7A-4E6A-8A3B-AC5E06FBEB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47A-4E6A-8A3B-AC5E06FBEB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2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7A-4E6A-8A3B-AC5E06FBEB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1'!$B$3:$B$6</c:f>
              <c:strCache>
                <c:ptCount val="4"/>
                <c:pt idx="0">
                  <c:v>ADHESIVE</c:v>
                </c:pt>
                <c:pt idx="1">
                  <c:v>VINYL</c:v>
                </c:pt>
                <c:pt idx="2">
                  <c:v>SILICONE</c:v>
                </c:pt>
                <c:pt idx="3">
                  <c:v>INK</c:v>
                </c:pt>
              </c:strCache>
            </c:strRef>
          </c:cat>
          <c:val>
            <c:numRef>
              <c:f>'ANALYSIS 1'!$C$3:$C$6</c:f>
              <c:numCache>
                <c:formatCode>General</c:formatCode>
                <c:ptCount val="4"/>
                <c:pt idx="0">
                  <c:v>3341</c:v>
                </c:pt>
                <c:pt idx="1">
                  <c:v>2358</c:v>
                </c:pt>
                <c:pt idx="2">
                  <c:v>2675</c:v>
                </c:pt>
                <c:pt idx="3">
                  <c:v>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A-4E6A-8A3B-AC5E06FBEB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980815"/>
        <c:axId val="96978895"/>
      </c:barChart>
      <c:catAx>
        <c:axId val="969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78895"/>
        <c:crosses val="autoZero"/>
        <c:auto val="1"/>
        <c:lblAlgn val="ctr"/>
        <c:lblOffset val="100"/>
        <c:noMultiLvlLbl val="0"/>
      </c:catAx>
      <c:valAx>
        <c:axId val="9697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'ANALYSIS 1'!$C$19</c:f>
              <c:strCache>
                <c:ptCount val="1"/>
                <c:pt idx="0">
                  <c:v>QUANTITY PURCHASED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FF00"/>
              </a:solidFill>
            </a:ln>
            <a:effectLst/>
            <a:sp3d>
              <a:contourClr>
                <a:srgbClr val="FFFF00"/>
              </a:contourClr>
            </a:sp3d>
          </c:spPr>
          <c:invertIfNegative val="0"/>
          <c:cat>
            <c:strRef>
              <c:f>'ANALYSIS 1'!$B$20:$B$22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'ANALYSIS 1'!$C$20:$C$22</c:f>
              <c:numCache>
                <c:formatCode>General</c:formatCode>
                <c:ptCount val="3"/>
                <c:pt idx="0">
                  <c:v>4631</c:v>
                </c:pt>
                <c:pt idx="1">
                  <c:v>3240</c:v>
                </c:pt>
                <c:pt idx="2">
                  <c:v>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C-44A8-BD54-197FBF86F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2296976"/>
        <c:axId val="1392297456"/>
        <c:axId val="0"/>
      </c:bar3DChart>
      <c:catAx>
        <c:axId val="139229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7456"/>
        <c:crosses val="autoZero"/>
        <c:auto val="1"/>
        <c:lblAlgn val="ctr"/>
        <c:lblOffset val="100"/>
        <c:noMultiLvlLbl val="0"/>
      </c:catAx>
      <c:valAx>
        <c:axId val="139229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business_data_project_vinshi_v4.xlsx]ANALYSIS 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1'!$I$44</c:f>
              <c:strCache>
                <c:ptCount val="1"/>
                <c:pt idx="0">
                  <c:v>Sum of OCTOBER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1'!$H$45:$H$48</c:f>
              <c:strCache>
                <c:ptCount val="3"/>
                <c:pt idx="0">
                  <c:v>daily_usage_kg</c:v>
                </c:pt>
                <c:pt idx="1">
                  <c:v>quantity_kg</c:v>
                </c:pt>
                <c:pt idx="2">
                  <c:v>remaining_stock_kg</c:v>
                </c:pt>
              </c:strCache>
            </c:strRef>
          </c:cat>
          <c:val>
            <c:numRef>
              <c:f>'ANALYSIS 1'!$I$45:$I$48</c:f>
              <c:numCache>
                <c:formatCode>General</c:formatCode>
                <c:ptCount val="3"/>
                <c:pt idx="0">
                  <c:v>1217</c:v>
                </c:pt>
                <c:pt idx="1">
                  <c:v>4631</c:v>
                </c:pt>
                <c:pt idx="2">
                  <c:v>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7-412B-B7FF-00E95E689540}"/>
            </c:ext>
          </c:extLst>
        </c:ser>
        <c:ser>
          <c:idx val="1"/>
          <c:order val="1"/>
          <c:tx>
            <c:strRef>
              <c:f>'ANALYSIS 1'!$J$44</c:f>
              <c:strCache>
                <c:ptCount val="1"/>
                <c:pt idx="0">
                  <c:v>Sum of 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1'!$H$45:$H$48</c:f>
              <c:strCache>
                <c:ptCount val="3"/>
                <c:pt idx="0">
                  <c:v>daily_usage_kg</c:v>
                </c:pt>
                <c:pt idx="1">
                  <c:v>quantity_kg</c:v>
                </c:pt>
                <c:pt idx="2">
                  <c:v>remaining_stock_kg</c:v>
                </c:pt>
              </c:strCache>
            </c:strRef>
          </c:cat>
          <c:val>
            <c:numRef>
              <c:f>'ANALYSIS 1'!$J$45:$J$48</c:f>
              <c:numCache>
                <c:formatCode>General</c:formatCode>
                <c:ptCount val="3"/>
                <c:pt idx="0">
                  <c:v>726</c:v>
                </c:pt>
                <c:pt idx="1">
                  <c:v>3240</c:v>
                </c:pt>
                <c:pt idx="2">
                  <c:v>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7-412B-B7FF-00E95E689540}"/>
            </c:ext>
          </c:extLst>
        </c:ser>
        <c:ser>
          <c:idx val="2"/>
          <c:order val="2"/>
          <c:tx>
            <c:strRef>
              <c:f>'ANALYSIS 1'!$K$44</c:f>
              <c:strCache>
                <c:ptCount val="1"/>
                <c:pt idx="0">
                  <c:v>Sum of 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1'!$H$45:$H$48</c:f>
              <c:strCache>
                <c:ptCount val="3"/>
                <c:pt idx="0">
                  <c:v>daily_usage_kg</c:v>
                </c:pt>
                <c:pt idx="1">
                  <c:v>quantity_kg</c:v>
                </c:pt>
                <c:pt idx="2">
                  <c:v>remaining_stock_kg</c:v>
                </c:pt>
              </c:strCache>
            </c:strRef>
          </c:cat>
          <c:val>
            <c:numRef>
              <c:f>'ANALYSIS 1'!$K$45:$K$48</c:f>
              <c:numCache>
                <c:formatCode>General</c:formatCode>
                <c:ptCount val="3"/>
                <c:pt idx="0">
                  <c:v>912</c:v>
                </c:pt>
                <c:pt idx="1">
                  <c:v>3502</c:v>
                </c:pt>
                <c:pt idx="2">
                  <c:v>2590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07-412B-B7FF-00E95E68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369056"/>
        <c:axId val="1157383456"/>
      </c:barChart>
      <c:catAx>
        <c:axId val="11573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83456"/>
        <c:crosses val="autoZero"/>
        <c:auto val="1"/>
        <c:lblAlgn val="ctr"/>
        <c:lblOffset val="100"/>
        <c:noMultiLvlLbl val="0"/>
      </c:catAx>
      <c:valAx>
        <c:axId val="11573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6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FROM EACH STICKER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2'!$C$2</c:f>
              <c:strCache>
                <c:ptCount val="1"/>
                <c:pt idx="0">
                  <c:v>SUM OF EACH 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2'!$B$3:$B$18</c:f>
              <c:strCache>
                <c:ptCount val="16"/>
                <c:pt idx="0">
                  <c:v>ankit</c:v>
                </c:pt>
                <c:pt idx="1">
                  <c:v>car</c:v>
                </c:pt>
                <c:pt idx="2">
                  <c:v>monkey</c:v>
                </c:pt>
                <c:pt idx="3">
                  <c:v>x</c:v>
                </c:pt>
                <c:pt idx="4">
                  <c:v>avinash</c:v>
                </c:pt>
                <c:pt idx="5">
                  <c:v>doraemon</c:v>
                </c:pt>
                <c:pt idx="6">
                  <c:v>perman</c:v>
                </c:pt>
                <c:pt idx="7">
                  <c:v>shinchan</c:v>
                </c:pt>
                <c:pt idx="8">
                  <c:v>nobita</c:v>
                </c:pt>
                <c:pt idx="9">
                  <c:v>flower</c:v>
                </c:pt>
                <c:pt idx="10">
                  <c:v>house</c:v>
                </c:pt>
                <c:pt idx="11">
                  <c:v>adidas</c:v>
                </c:pt>
                <c:pt idx="12">
                  <c:v>mickey</c:v>
                </c:pt>
                <c:pt idx="13">
                  <c:v>nike</c:v>
                </c:pt>
                <c:pt idx="14">
                  <c:v>strawberry</c:v>
                </c:pt>
                <c:pt idx="15">
                  <c:v>TOTAL</c:v>
                </c:pt>
              </c:strCache>
            </c:strRef>
          </c:cat>
          <c:val>
            <c:numRef>
              <c:f>'ANALYSIS 2'!$C$3:$C$18</c:f>
              <c:numCache>
                <c:formatCode>General</c:formatCode>
                <c:ptCount val="16"/>
                <c:pt idx="0">
                  <c:v>40</c:v>
                </c:pt>
                <c:pt idx="1">
                  <c:v>39</c:v>
                </c:pt>
                <c:pt idx="2">
                  <c:v>48</c:v>
                </c:pt>
                <c:pt idx="3">
                  <c:v>30</c:v>
                </c:pt>
                <c:pt idx="4">
                  <c:v>38</c:v>
                </c:pt>
                <c:pt idx="5">
                  <c:v>52</c:v>
                </c:pt>
                <c:pt idx="6">
                  <c:v>25</c:v>
                </c:pt>
                <c:pt idx="7">
                  <c:v>46</c:v>
                </c:pt>
                <c:pt idx="8">
                  <c:v>39</c:v>
                </c:pt>
                <c:pt idx="9">
                  <c:v>46</c:v>
                </c:pt>
                <c:pt idx="10">
                  <c:v>33</c:v>
                </c:pt>
                <c:pt idx="11">
                  <c:v>42</c:v>
                </c:pt>
                <c:pt idx="12">
                  <c:v>39</c:v>
                </c:pt>
                <c:pt idx="13">
                  <c:v>36</c:v>
                </c:pt>
                <c:pt idx="14">
                  <c:v>47</c:v>
                </c:pt>
                <c:pt idx="1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1-44B6-82E7-C2FE86E36E49}"/>
            </c:ext>
          </c:extLst>
        </c:ser>
        <c:ser>
          <c:idx val="1"/>
          <c:order val="1"/>
          <c:tx>
            <c:strRef>
              <c:f>'ANALYSIS 2'!$D$2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2'!$B$3:$B$18</c:f>
              <c:strCache>
                <c:ptCount val="16"/>
                <c:pt idx="0">
                  <c:v>ankit</c:v>
                </c:pt>
                <c:pt idx="1">
                  <c:v>car</c:v>
                </c:pt>
                <c:pt idx="2">
                  <c:v>monkey</c:v>
                </c:pt>
                <c:pt idx="3">
                  <c:v>x</c:v>
                </c:pt>
                <c:pt idx="4">
                  <c:v>avinash</c:v>
                </c:pt>
                <c:pt idx="5">
                  <c:v>doraemon</c:v>
                </c:pt>
                <c:pt idx="6">
                  <c:v>perman</c:v>
                </c:pt>
                <c:pt idx="7">
                  <c:v>shinchan</c:v>
                </c:pt>
                <c:pt idx="8">
                  <c:v>nobita</c:v>
                </c:pt>
                <c:pt idx="9">
                  <c:v>flower</c:v>
                </c:pt>
                <c:pt idx="10">
                  <c:v>house</c:v>
                </c:pt>
                <c:pt idx="11">
                  <c:v>adidas</c:v>
                </c:pt>
                <c:pt idx="12">
                  <c:v>mickey</c:v>
                </c:pt>
                <c:pt idx="13">
                  <c:v>nike</c:v>
                </c:pt>
                <c:pt idx="14">
                  <c:v>strawberry</c:v>
                </c:pt>
                <c:pt idx="15">
                  <c:v>TOTAL</c:v>
                </c:pt>
              </c:strCache>
            </c:strRef>
          </c:cat>
          <c:val>
            <c:numRef>
              <c:f>'ANALYSIS 2'!$D$3:$D$18</c:f>
              <c:numCache>
                <c:formatCode>General</c:formatCode>
                <c:ptCount val="16"/>
                <c:pt idx="0">
                  <c:v>288500</c:v>
                </c:pt>
                <c:pt idx="1">
                  <c:v>401500</c:v>
                </c:pt>
                <c:pt idx="2">
                  <c:v>250000</c:v>
                </c:pt>
                <c:pt idx="3">
                  <c:v>280000</c:v>
                </c:pt>
                <c:pt idx="4">
                  <c:v>341000</c:v>
                </c:pt>
                <c:pt idx="5">
                  <c:v>434500</c:v>
                </c:pt>
                <c:pt idx="6">
                  <c:v>165500</c:v>
                </c:pt>
                <c:pt idx="7">
                  <c:v>344500</c:v>
                </c:pt>
                <c:pt idx="8">
                  <c:v>164000</c:v>
                </c:pt>
                <c:pt idx="9">
                  <c:v>333500</c:v>
                </c:pt>
                <c:pt idx="10">
                  <c:v>191000</c:v>
                </c:pt>
                <c:pt idx="11">
                  <c:v>248500</c:v>
                </c:pt>
                <c:pt idx="12">
                  <c:v>258000</c:v>
                </c:pt>
                <c:pt idx="13">
                  <c:v>257000</c:v>
                </c:pt>
                <c:pt idx="14">
                  <c:v>291500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1-44B6-82E7-C2FE86E36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688976"/>
        <c:axId val="1518687056"/>
      </c:barChart>
      <c:catAx>
        <c:axId val="151868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87056"/>
        <c:crosses val="autoZero"/>
        <c:auto val="1"/>
        <c:lblAlgn val="ctr"/>
        <c:lblOffset val="100"/>
        <c:noMultiLvlLbl val="0"/>
      </c:catAx>
      <c:valAx>
        <c:axId val="15186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8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5166229221355"/>
          <c:y val="0.17634259259259263"/>
          <c:w val="0.38343022747156602"/>
          <c:h val="0.63905037911927665"/>
        </c:manualLayout>
      </c:layout>
      <c:pieChart>
        <c:varyColors val="1"/>
        <c:ser>
          <c:idx val="0"/>
          <c:order val="0"/>
          <c:tx>
            <c:strRef>
              <c:f>'ANALYSIS 2'!$C$22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F-413A-A8C6-F4DD7BED64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F-413A-A8C6-F4DD7BED64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F-413A-A8C6-F4DD7BED6433}"/>
              </c:ext>
            </c:extLst>
          </c:dPt>
          <c:cat>
            <c:strRef>
              <c:f>'ANALYSIS 2'!$B$23:$B$25</c:f>
              <c:strCache>
                <c:ptCount val="3"/>
                <c:pt idx="0">
                  <c:v>Cartoon</c:v>
                </c:pt>
                <c:pt idx="1">
                  <c:v>Logo</c:v>
                </c:pt>
                <c:pt idx="2">
                  <c:v>custom designs</c:v>
                </c:pt>
              </c:strCache>
            </c:strRef>
          </c:cat>
          <c:val>
            <c:numRef>
              <c:f>'ANALYSIS 2'!$C$23:$C$25</c:f>
              <c:numCache>
                <c:formatCode>General</c:formatCode>
                <c:ptCount val="3"/>
                <c:pt idx="0">
                  <c:v>3264000</c:v>
                </c:pt>
                <c:pt idx="1">
                  <c:v>3437000</c:v>
                </c:pt>
                <c:pt idx="2">
                  <c:v>3484000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360-ADF5-80FFE4353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Pareto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2'!$C$40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2'!$B$41:$B$55</c:f>
              <c:strCache>
                <c:ptCount val="15"/>
                <c:pt idx="0">
                  <c:v>Doraemon</c:v>
                </c:pt>
                <c:pt idx="1">
                  <c:v>Shinchan</c:v>
                </c:pt>
                <c:pt idx="2">
                  <c:v>Car</c:v>
                </c:pt>
                <c:pt idx="3">
                  <c:v>Avinash</c:v>
                </c:pt>
                <c:pt idx="4">
                  <c:v>Flower</c:v>
                </c:pt>
                <c:pt idx="5">
                  <c:v>Adidas</c:v>
                </c:pt>
                <c:pt idx="6">
                  <c:v>Ankit</c:v>
                </c:pt>
                <c:pt idx="7">
                  <c:v>Strawberry</c:v>
                </c:pt>
                <c:pt idx="8">
                  <c:v>Monkey</c:v>
                </c:pt>
                <c:pt idx="9">
                  <c:v>X</c:v>
                </c:pt>
                <c:pt idx="10">
                  <c:v>Nike</c:v>
                </c:pt>
                <c:pt idx="11">
                  <c:v>House</c:v>
                </c:pt>
                <c:pt idx="12">
                  <c:v>Mickey</c:v>
                </c:pt>
                <c:pt idx="13">
                  <c:v>Nobita</c:v>
                </c:pt>
                <c:pt idx="14">
                  <c:v>Perman</c:v>
                </c:pt>
              </c:strCache>
            </c:strRef>
          </c:cat>
          <c:val>
            <c:numRef>
              <c:f>'ANALYSIS 2'!$C$41:$C$55</c:f>
              <c:numCache>
                <c:formatCode>General</c:formatCode>
                <c:ptCount val="15"/>
                <c:pt idx="0">
                  <c:v>938000</c:v>
                </c:pt>
                <c:pt idx="1">
                  <c:v>825500</c:v>
                </c:pt>
                <c:pt idx="2">
                  <c:v>820500</c:v>
                </c:pt>
                <c:pt idx="3">
                  <c:v>801000</c:v>
                </c:pt>
                <c:pt idx="4">
                  <c:v>795500</c:v>
                </c:pt>
                <c:pt idx="5">
                  <c:v>778500</c:v>
                </c:pt>
                <c:pt idx="6">
                  <c:v>690500</c:v>
                </c:pt>
                <c:pt idx="7">
                  <c:v>682000</c:v>
                </c:pt>
                <c:pt idx="8">
                  <c:v>622000</c:v>
                </c:pt>
                <c:pt idx="9">
                  <c:v>588000</c:v>
                </c:pt>
                <c:pt idx="10">
                  <c:v>579000</c:v>
                </c:pt>
                <c:pt idx="11">
                  <c:v>564000</c:v>
                </c:pt>
                <c:pt idx="12">
                  <c:v>533000</c:v>
                </c:pt>
                <c:pt idx="13">
                  <c:v>516000</c:v>
                </c:pt>
                <c:pt idx="14">
                  <c:v>451500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9-4FC2-A9CB-8B12DFC6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008624"/>
        <c:axId val="1615011024"/>
      </c:barChart>
      <c:lineChart>
        <c:grouping val="standard"/>
        <c:varyColors val="0"/>
        <c:ser>
          <c:idx val="1"/>
          <c:order val="1"/>
          <c:tx>
            <c:strRef>
              <c:f>'ANALYSIS 2'!$D$40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2'!$B$41:$B$55</c:f>
              <c:strCache>
                <c:ptCount val="15"/>
                <c:pt idx="0">
                  <c:v>Doraemon</c:v>
                </c:pt>
                <c:pt idx="1">
                  <c:v>Shinchan</c:v>
                </c:pt>
                <c:pt idx="2">
                  <c:v>Car</c:v>
                </c:pt>
                <c:pt idx="3">
                  <c:v>Avinash</c:v>
                </c:pt>
                <c:pt idx="4">
                  <c:v>Flower</c:v>
                </c:pt>
                <c:pt idx="5">
                  <c:v>Adidas</c:v>
                </c:pt>
                <c:pt idx="6">
                  <c:v>Ankit</c:v>
                </c:pt>
                <c:pt idx="7">
                  <c:v>Strawberry</c:v>
                </c:pt>
                <c:pt idx="8">
                  <c:v>Monkey</c:v>
                </c:pt>
                <c:pt idx="9">
                  <c:v>X</c:v>
                </c:pt>
                <c:pt idx="10">
                  <c:v>Nike</c:v>
                </c:pt>
                <c:pt idx="11">
                  <c:v>House</c:v>
                </c:pt>
                <c:pt idx="12">
                  <c:v>Mickey</c:v>
                </c:pt>
                <c:pt idx="13">
                  <c:v>Nobita</c:v>
                </c:pt>
                <c:pt idx="14">
                  <c:v>Perman</c:v>
                </c:pt>
              </c:strCache>
            </c:strRef>
          </c:cat>
          <c:val>
            <c:numRef>
              <c:f>'ANALYSIS 2'!$D$41:$D$55</c:f>
              <c:numCache>
                <c:formatCode>General</c:formatCode>
                <c:ptCount val="15"/>
                <c:pt idx="0">
                  <c:v>9.2096219931271484E-2</c:v>
                </c:pt>
                <c:pt idx="1">
                  <c:v>0.17314678448699067</c:v>
                </c:pt>
                <c:pt idx="2">
                  <c:v>0.25370643102601864</c:v>
                </c:pt>
                <c:pt idx="3">
                  <c:v>0.33235149729995089</c:v>
                </c:pt>
                <c:pt idx="4">
                  <c:v>0.41045655375552281</c:v>
                </c:pt>
                <c:pt idx="5">
                  <c:v>0.48689248895434462</c:v>
                </c:pt>
                <c:pt idx="6">
                  <c:v>0.55468826705940111</c:v>
                </c:pt>
                <c:pt idx="7">
                  <c:v>0.62164948453608249</c:v>
                </c:pt>
                <c:pt idx="8">
                  <c:v>0.68271968581246933</c:v>
                </c:pt>
                <c:pt idx="9">
                  <c:v>0.74045164457535595</c:v>
                </c:pt>
                <c:pt idx="10">
                  <c:v>0.79729995090819838</c:v>
                </c:pt>
                <c:pt idx="11">
                  <c:v>0.85267550319096708</c:v>
                </c:pt>
                <c:pt idx="12">
                  <c:v>0.90500736377025037</c:v>
                </c:pt>
                <c:pt idx="13">
                  <c:v>0.95567010309278355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9-4FC2-A9CB-8B12DFC6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009584"/>
        <c:axId val="1615004784"/>
      </c:lineChart>
      <c:catAx>
        <c:axId val="16150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11024"/>
        <c:crosses val="autoZero"/>
        <c:auto val="1"/>
        <c:lblAlgn val="ctr"/>
        <c:lblOffset val="100"/>
        <c:noMultiLvlLbl val="0"/>
      </c:catAx>
      <c:valAx>
        <c:axId val="16150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08624"/>
        <c:crosses val="autoZero"/>
        <c:crossBetween val="between"/>
      </c:valAx>
      <c:valAx>
        <c:axId val="161500478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09584"/>
        <c:crosses val="max"/>
        <c:crossBetween val="between"/>
      </c:valAx>
      <c:catAx>
        <c:axId val="1615009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5004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waste bar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'ANALYSIS 3'!$C$2</c:f>
              <c:strCache>
                <c:ptCount val="1"/>
                <c:pt idx="0">
                  <c:v>Total waste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3'!$B$3:$B$6</c:f>
              <c:strCache>
                <c:ptCount val="4"/>
                <c:pt idx="0">
                  <c:v>Adhesive</c:v>
                </c:pt>
                <c:pt idx="1">
                  <c:v>Ink</c:v>
                </c:pt>
                <c:pt idx="2">
                  <c:v>silicone</c:v>
                </c:pt>
                <c:pt idx="3">
                  <c:v>Vinyl</c:v>
                </c:pt>
              </c:strCache>
            </c:strRef>
          </c:cat>
          <c:val>
            <c:numRef>
              <c:f>'ANALYSIS 3'!$C$3:$C$6</c:f>
              <c:numCache>
                <c:formatCode>General</c:formatCode>
                <c:ptCount val="4"/>
                <c:pt idx="0">
                  <c:v>293</c:v>
                </c:pt>
                <c:pt idx="1">
                  <c:v>208</c:v>
                </c:pt>
                <c:pt idx="2">
                  <c:v>190</c:v>
                </c:pt>
                <c:pt idx="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6-4807-B303-D09B7734DEDA}"/>
            </c:ext>
          </c:extLst>
        </c:ser>
        <c:ser>
          <c:idx val="1"/>
          <c:order val="1"/>
          <c:tx>
            <c:strRef>
              <c:f>'ANALYSIS 3'!$D$2</c:f>
              <c:strCache>
                <c:ptCount val="1"/>
                <c:pt idx="0">
                  <c:v>Waste Percentage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3'!$B$3:$B$6</c:f>
              <c:strCache>
                <c:ptCount val="4"/>
                <c:pt idx="0">
                  <c:v>Adhesive</c:v>
                </c:pt>
                <c:pt idx="1">
                  <c:v>Ink</c:v>
                </c:pt>
                <c:pt idx="2">
                  <c:v>silicone</c:v>
                </c:pt>
                <c:pt idx="3">
                  <c:v>Vinyl</c:v>
                </c:pt>
              </c:strCache>
            </c:strRef>
          </c:cat>
          <c:val>
            <c:numRef>
              <c:f>'ANALYSIS 3'!$D$3:$D$6</c:f>
              <c:numCache>
                <c:formatCode>General</c:formatCode>
                <c:ptCount val="4"/>
                <c:pt idx="0">
                  <c:v>8.7802258161549833</c:v>
                </c:pt>
                <c:pt idx="1">
                  <c:v>7.2771839292876832</c:v>
                </c:pt>
                <c:pt idx="2">
                  <c:v>6.7006570836891486</c:v>
                </c:pt>
                <c:pt idx="3">
                  <c:v>6.0446084237791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6-4807-B303-D09B7734DE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39407024"/>
        <c:axId val="439405104"/>
      </c:barChart>
      <c:catAx>
        <c:axId val="43940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05104"/>
        <c:crosses val="autoZero"/>
        <c:auto val="1"/>
        <c:lblAlgn val="ctr"/>
        <c:lblOffset val="100"/>
        <c:noMultiLvlLbl val="0"/>
      </c:catAx>
      <c:valAx>
        <c:axId val="4394051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3940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3'!$C$21</c:f>
              <c:strCache>
                <c:ptCount val="1"/>
                <c:pt idx="0">
                  <c:v>Total waste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'ANALYSIS 3'!$B$22:$B$24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'ANALYSIS 3'!$C$22:$C$24</c:f>
              <c:numCache>
                <c:formatCode>General</c:formatCode>
                <c:ptCount val="3"/>
                <c:pt idx="0">
                  <c:v>332</c:v>
                </c:pt>
                <c:pt idx="1">
                  <c:v>251</c:v>
                </c:pt>
                <c:pt idx="2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F-4A75-AF41-CA1AB2CB4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062576"/>
        <c:axId val="453063056"/>
      </c:lineChart>
      <c:catAx>
        <c:axId val="45306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63056"/>
        <c:crosses val="autoZero"/>
        <c:auto val="1"/>
        <c:lblAlgn val="ctr"/>
        <c:lblOffset val="100"/>
        <c:noMultiLvlLbl val="0"/>
      </c:catAx>
      <c:valAx>
        <c:axId val="4530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62576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'ANALYSIS 4'!$D$2</c:f>
              <c:strCache>
                <c:ptCount val="1"/>
                <c:pt idx="0">
                  <c:v>sticker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4'!$C$3:$C$5</c:f>
              <c:strCache>
                <c:ptCount val="3"/>
                <c:pt idx="0">
                  <c:v>LabelX</c:v>
                </c:pt>
                <c:pt idx="1">
                  <c:v>FootMark Labels</c:v>
                </c:pt>
                <c:pt idx="2">
                  <c:v>InstaSticker</c:v>
                </c:pt>
              </c:strCache>
            </c:strRef>
          </c:cat>
          <c:val>
            <c:numRef>
              <c:f>'ANALYSIS 4'!$D$3:$D$5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F-4B0B-BBFE-A1EF494D6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3081296"/>
        <c:axId val="453078416"/>
      </c:barChart>
      <c:catAx>
        <c:axId val="4530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78416"/>
        <c:crosses val="autoZero"/>
        <c:auto val="1"/>
        <c:lblAlgn val="ctr"/>
        <c:lblOffset val="100"/>
        <c:noMultiLvlLbl val="0"/>
      </c:catAx>
      <c:valAx>
        <c:axId val="4530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8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STICKER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'ANALYSIS 4'!$C$15</c:f>
              <c:strCache>
                <c:ptCount val="1"/>
                <c:pt idx="0">
                  <c:v>Cartoon stickers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'ANALYSIS 4'!$D$14</c:f>
              <c:strCache>
                <c:ptCount val="1"/>
                <c:pt idx="0">
                  <c:v>average price</c:v>
                </c:pt>
              </c:strCache>
            </c:strRef>
          </c:cat>
          <c:val>
            <c:numRef>
              <c:f>'ANALYSIS 4'!$D$15</c:f>
              <c:numCache>
                <c:formatCode>General</c:formatCode>
                <c:ptCount val="1"/>
                <c:pt idx="0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A-41F1-9AF0-EAB2D542420E}"/>
            </c:ext>
          </c:extLst>
        </c:ser>
        <c:ser>
          <c:idx val="1"/>
          <c:order val="1"/>
          <c:tx>
            <c:strRef>
              <c:f>'ANALYSIS 4'!$C$16</c:f>
              <c:strCache>
                <c:ptCount val="1"/>
                <c:pt idx="0">
                  <c:v>Logo stickers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'ANALYSIS 4'!$D$14</c:f>
              <c:strCache>
                <c:ptCount val="1"/>
                <c:pt idx="0">
                  <c:v>average price</c:v>
                </c:pt>
              </c:strCache>
            </c:strRef>
          </c:cat>
          <c:val>
            <c:numRef>
              <c:f>'ANALYSIS 4'!$D$16</c:f>
              <c:numCache>
                <c:formatCode>General</c:formatCode>
                <c:ptCount val="1"/>
                <c:pt idx="0">
                  <c:v>14.571428571428571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A-41F1-9AF0-EAB2D542420E}"/>
            </c:ext>
          </c:extLst>
        </c:ser>
        <c:ser>
          <c:idx val="2"/>
          <c:order val="2"/>
          <c:tx>
            <c:strRef>
              <c:f>'ANALYSIS 4'!$C$17</c:f>
              <c:strCache>
                <c:ptCount val="1"/>
                <c:pt idx="0">
                  <c:v>Custom design stickers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'ANALYSIS 4'!$D$14</c:f>
              <c:strCache>
                <c:ptCount val="1"/>
                <c:pt idx="0">
                  <c:v>average price</c:v>
                </c:pt>
              </c:strCache>
            </c:strRef>
          </c:cat>
          <c:val>
            <c:numRef>
              <c:f>'ANALYSIS 4'!$D$17</c:f>
              <c:numCache>
                <c:formatCode>General</c:formatCode>
                <c:ptCount val="1"/>
                <c:pt idx="0">
                  <c:v>13.428571428571429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5A-41F1-9AF0-EAB2D5424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3500000"/>
        <c:axId val="653502400"/>
        <c:axId val="0"/>
      </c:bar3DChart>
      <c:catAx>
        <c:axId val="6535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02400"/>
        <c:crosses val="autoZero"/>
        <c:auto val="1"/>
        <c:lblAlgn val="ctr"/>
        <c:lblOffset val="100"/>
        <c:noMultiLvlLbl val="0"/>
      </c:catAx>
      <c:valAx>
        <c:axId val="6535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110490</xdr:rowOff>
    </xdr:from>
    <xdr:to>
      <xdr:col>12</xdr:col>
      <xdr:colOff>304800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31A71-21EC-5C29-E33A-11D213093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171450</xdr:rowOff>
    </xdr:from>
    <xdr:to>
      <xdr:col>11</xdr:col>
      <xdr:colOff>304800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7779C-6F64-257F-DE27-D04D01D04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160020</xdr:colOff>
      <xdr:row>37</xdr:row>
      <xdr:rowOff>34290</xdr:rowOff>
    </xdr:from>
    <xdr:to>
      <xdr:col>13</xdr:col>
      <xdr:colOff>464820</xdr:colOff>
      <xdr:row>52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6F54E8-D79E-11EF-8173-73A21C372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</xdr:row>
      <xdr:rowOff>148590</xdr:rowOff>
    </xdr:from>
    <xdr:to>
      <xdr:col>12</xdr:col>
      <xdr:colOff>541020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0283B-7CCB-7A8B-923E-1A1C34000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220980</xdr:colOff>
      <xdr:row>21</xdr:row>
      <xdr:rowOff>3810</xdr:rowOff>
    </xdr:from>
    <xdr:to>
      <xdr:col>10</xdr:col>
      <xdr:colOff>525780</xdr:colOff>
      <xdr:row>36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E2B053-8ACD-0B14-98FE-1DA024CFB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39</xdr:row>
      <xdr:rowOff>64770</xdr:rowOff>
    </xdr:from>
    <xdr:to>
      <xdr:col>13</xdr:col>
      <xdr:colOff>38100</xdr:colOff>
      <xdr:row>54</xdr:row>
      <xdr:rowOff>64770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463FEF-2E5B-4F23-81D8-BA3D56EDE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1</xdr:row>
      <xdr:rowOff>163830</xdr:rowOff>
    </xdr:from>
    <xdr:to>
      <xdr:col>12</xdr:col>
      <xdr:colOff>129540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BEFA0-82B4-73D4-B7B7-4A3E02FEA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868680</xdr:colOff>
      <xdr:row>20</xdr:row>
      <xdr:rowOff>45720</xdr:rowOff>
    </xdr:from>
    <xdr:to>
      <xdr:col>10</xdr:col>
      <xdr:colOff>53340</xdr:colOff>
      <xdr:row>31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C09905-B3E1-C017-A5E3-8C1A43826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3810</xdr:rowOff>
    </xdr:from>
    <xdr:to>
      <xdr:col>11</xdr:col>
      <xdr:colOff>487680</xdr:colOff>
      <xdr:row>11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85B25-E0A9-7B21-E10A-53A50D7EE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434340</xdr:colOff>
      <xdr:row>13</xdr:row>
      <xdr:rowOff>64770</xdr:rowOff>
    </xdr:from>
    <xdr:to>
      <xdr:col>12</xdr:col>
      <xdr:colOff>129540</xdr:colOff>
      <xdr:row>28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CC60AE-CCF0-893E-FB2F-DBDAC6CAA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 Office" refreshedDate="45815.751475925928" createdVersion="8" refreshedVersion="8" minRefreshableVersion="3" recordCount="3" xr:uid="{0F505BDE-CCFD-4219-AA16-70212C0DB96B}">
  <cacheSource type="worksheet">
    <worksheetSource name="Table1"/>
  </cacheSource>
  <cacheFields count="4">
    <cacheField name="PRODUCT" numFmtId="0">
      <sharedItems count="3">
        <s v="quantity_kg"/>
        <s v="daily_usage_kg"/>
        <s v="remaining_stock_kg"/>
      </sharedItems>
    </cacheField>
    <cacheField name="OCTOBER" numFmtId="0">
      <sharedItems containsSemiMixedTypes="0" containsString="0" containsNumber="1" containsInteger="1" minValue="1217" maxValue="4631"/>
    </cacheField>
    <cacheField name="NOVEMBER" numFmtId="0">
      <sharedItems containsSemiMixedTypes="0" containsString="0" containsNumber="1" containsInteger="1" minValue="726" maxValue="3240"/>
    </cacheField>
    <cacheField name="DECEMBER" numFmtId="0">
      <sharedItems containsSemiMixedTypes="0" containsString="0" containsNumber="1" containsInteger="1" minValue="912" maxValue="3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631"/>
    <n v="3240"/>
    <n v="3502"/>
  </r>
  <r>
    <x v="1"/>
    <n v="1217"/>
    <n v="726"/>
    <n v="912"/>
  </r>
  <r>
    <x v="2"/>
    <n v="3414"/>
    <n v="2514"/>
    <n v="25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9B764-873E-4B4B-80E8-C922FDFB224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44:K48" firstHeaderRow="0" firstDataRow="1" firstDataCol="1"/>
  <pivotFields count="4"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CTOBER" fld="1" baseField="0" baseItem="0"/>
    <dataField name="Sum of NOVEMBER" fld="2" baseField="0" baseItem="0"/>
    <dataField name="Sum of DECEMBER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6F2D2-DF25-48DC-B004-2EEC96BCEA51}" name="Table1" displayName="Table1" ref="C41:F44" totalsRowShown="0">
  <autoFilter ref="C41:F44" xr:uid="{3446F2D2-DF25-48DC-B004-2EEC96BCEA51}"/>
  <tableColumns count="4">
    <tableColumn id="1" xr3:uid="{4191E9AB-8451-424D-904D-85E52DBFFC2F}" name="PRODUCT"/>
    <tableColumn id="2" xr3:uid="{0D5579CC-137C-4642-AEF8-1695D7D7561D}" name="OCTOBER"/>
    <tableColumn id="3" xr3:uid="{8820A30A-66AF-4E21-A143-54B21FACE4CC}" name="NOVEMBER"/>
    <tableColumn id="4" xr3:uid="{B178D9EC-4228-4918-8F02-DA24E0E763D0}" name="DECEMBE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9D595-D4D3-4AB7-91D7-E14C50CAA658}" name="Table2" displayName="Table2" ref="B22:C25" totalsRowShown="0">
  <autoFilter ref="B22:C25" xr:uid="{05D9D595-D4D3-4AB7-91D7-E14C50CAA658}"/>
  <tableColumns count="2">
    <tableColumn id="1" xr3:uid="{53438582-D36F-410A-ACC2-250154778B64}" name="Product type" dataDxfId="0"/>
    <tableColumn id="2" xr3:uid="{512FCC9B-52B6-4381-AD7A-E2E7221A8E24}" name="total revenue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3D590-6C90-419D-8ADC-10C9FDEDE3AD}" name="Table3" displayName="Table3" ref="B2:D18" totalsRowShown="0">
  <autoFilter ref="B2:D18" xr:uid="{1E93D590-6C90-419D-8ADC-10C9FDEDE3AD}"/>
  <tableColumns count="3">
    <tableColumn id="1" xr3:uid="{353D63AC-D886-499B-B839-D3630E31A70D}" name="Sticker name"/>
    <tableColumn id="2" xr3:uid="{02A9F03B-DD8B-4429-AAFE-F9B3FE8A6495}" name="SUM OF EACH ORDER"/>
    <tableColumn id="3" xr3:uid="{B245DC64-8F78-4300-AFDC-F641E557097A}" name="Profi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B9AF5B-6531-4DE8-AA76-40B8B9C4D616}" name="Table4" displayName="Table4" ref="B40:D55" totalsRowShown="0">
  <autoFilter ref="B40:D55" xr:uid="{21FB7E0B-52E7-44E8-B6EE-A09B0F59E5F6}"/>
  <sortState xmlns:xlrd2="http://schemas.microsoft.com/office/spreadsheetml/2017/richdata2" ref="B41:D55">
    <sortCondition descending="1" ref="C41:C55"/>
  </sortState>
  <tableColumns count="3">
    <tableColumn id="1" xr3:uid="{C52FF6A3-3808-4A0E-801A-A91212E53CB7}" name="Sticker name"/>
    <tableColumn id="2" xr3:uid="{085A4B1A-36E3-45C6-8323-A1C733FC16F6}" name="Total Revenue"/>
    <tableColumn id="3" xr3:uid="{DB3F06DA-A326-4959-907C-E5F07E06D05B}" name="cumulative %">
      <calculatedColumnFormula>SUM($C$41:C41)/SUM($C$41:$C$55)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0E9493-FDE6-494E-86A5-AA72A4B8FCE3}" name="Table5" displayName="Table5" ref="B2:D6" totalsRowShown="0">
  <autoFilter ref="B2:D6" xr:uid="{450E9493-FDE6-494E-86A5-AA72A4B8FCE3}"/>
  <tableColumns count="3">
    <tableColumn id="1" xr3:uid="{C9C48C60-3E12-40E1-8F41-86D14199D8E2}" name="Material type"/>
    <tableColumn id="2" xr3:uid="{73B31057-EF26-4F5C-B637-1C9E59D239F3}" name="Total waste"/>
    <tableColumn id="3" xr3:uid="{96286561-54CA-4736-93CF-98BC2FA94419}" name="Waste Percentag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1A273A-211E-498C-AE44-84A36FC1DCAD}" name="Table6" displayName="Table6" ref="B21:C24" totalsRowShown="0">
  <autoFilter ref="B21:C24" xr:uid="{D61A273A-211E-498C-AE44-84A36FC1DCAD}"/>
  <tableColumns count="2">
    <tableColumn id="1" xr3:uid="{A16802FB-0696-4286-BADD-6001C31EE5A9}" name="Month"/>
    <tableColumn id="2" xr3:uid="{D8C37E4B-661A-4C18-B586-97B0A4CE11C5}" name="Total wast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8253FF-E7E8-4370-81C7-BD8186818828}" name="Table7" displayName="Table7" ref="C2:D5" totalsRowShown="0">
  <autoFilter ref="C2:D5" xr:uid="{168253FF-E7E8-4370-81C7-BD8186818828}"/>
  <tableColumns count="2">
    <tableColumn id="1" xr3:uid="{CCBB119B-027A-4190-B964-DF3890BC4539}" name="competitor name"/>
    <tableColumn id="2" xr3:uid="{11B52BFE-3DAC-4664-A65A-125C912E1097}" name="sticker count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A58C64-2F7F-4BDC-8B6B-48856F59FAEB}" name="Table8" displayName="Table8" ref="C14:D17" totalsRowShown="0">
  <autoFilter ref="C14:D17" xr:uid="{50A58C64-2F7F-4BDC-8B6B-48856F59FAEB}"/>
  <tableColumns count="2">
    <tableColumn id="1" xr3:uid="{AC72E15A-4F65-414E-89A8-D1553D2EF19E}" name="product type"/>
    <tableColumn id="2" xr3:uid="{75816B25-69B5-4F43-8317-B7DC3499A6D5}" name="average pric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D5" sqref="D5"/>
    </sheetView>
  </sheetViews>
  <sheetFormatPr defaultRowHeight="14.4" x14ac:dyDescent="0.3"/>
  <cols>
    <col min="1" max="1" width="20.88671875" customWidth="1"/>
    <col min="2" max="2" width="16" customWidth="1"/>
    <col min="3" max="3" width="27.109375" customWidth="1"/>
    <col min="4" max="4" width="11.77734375" customWidth="1"/>
    <col min="5" max="5" width="12.88671875" customWidth="1"/>
    <col min="6" max="6" width="17" customWidth="1"/>
    <col min="7" max="7" width="20.6640625" customWidth="1"/>
  </cols>
  <sheetData>
    <row r="1" spans="1:8" x14ac:dyDescent="0.3">
      <c r="A1" s="1" t="s">
        <v>52</v>
      </c>
      <c r="B1" s="1" t="s">
        <v>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45566</v>
      </c>
      <c r="B2" t="s">
        <v>9</v>
      </c>
      <c r="C2">
        <v>46</v>
      </c>
      <c r="D2">
        <v>143</v>
      </c>
      <c r="E2">
        <v>6578</v>
      </c>
      <c r="F2">
        <v>22</v>
      </c>
      <c r="G2">
        <v>24</v>
      </c>
      <c r="H2" t="s">
        <v>13</v>
      </c>
    </row>
    <row r="3" spans="1:8" x14ac:dyDescent="0.3">
      <c r="A3" s="2">
        <v>45566</v>
      </c>
      <c r="B3" t="s">
        <v>8</v>
      </c>
      <c r="C3">
        <v>68</v>
      </c>
      <c r="D3">
        <v>236</v>
      </c>
      <c r="E3">
        <v>16048</v>
      </c>
      <c r="F3">
        <v>19</v>
      </c>
      <c r="G3">
        <v>49</v>
      </c>
      <c r="H3" t="s">
        <v>13</v>
      </c>
    </row>
    <row r="4" spans="1:8" x14ac:dyDescent="0.3">
      <c r="A4" s="2">
        <v>45566</v>
      </c>
      <c r="B4" t="s">
        <v>9</v>
      </c>
      <c r="C4">
        <v>30</v>
      </c>
      <c r="D4">
        <v>217</v>
      </c>
      <c r="E4">
        <v>6510</v>
      </c>
      <c r="F4">
        <v>15</v>
      </c>
      <c r="G4">
        <v>15</v>
      </c>
      <c r="H4" t="s">
        <v>13</v>
      </c>
    </row>
    <row r="5" spans="1:8" x14ac:dyDescent="0.3">
      <c r="A5" s="2">
        <v>45567</v>
      </c>
      <c r="B5" t="s">
        <v>8</v>
      </c>
      <c r="C5">
        <v>80</v>
      </c>
      <c r="D5">
        <v>293</v>
      </c>
      <c r="E5">
        <v>23440</v>
      </c>
      <c r="F5">
        <v>1</v>
      </c>
      <c r="G5">
        <v>79</v>
      </c>
      <c r="H5" t="s">
        <v>13</v>
      </c>
    </row>
    <row r="6" spans="1:8" x14ac:dyDescent="0.3">
      <c r="A6" s="2">
        <v>45567</v>
      </c>
      <c r="B6" t="s">
        <v>8</v>
      </c>
      <c r="C6">
        <v>62</v>
      </c>
      <c r="D6">
        <v>218</v>
      </c>
      <c r="E6">
        <v>13516</v>
      </c>
      <c r="F6">
        <v>6</v>
      </c>
      <c r="G6">
        <v>56</v>
      </c>
      <c r="H6" t="s">
        <v>13</v>
      </c>
    </row>
    <row r="7" spans="1:8" x14ac:dyDescent="0.3">
      <c r="A7" s="2">
        <v>45567</v>
      </c>
      <c r="B7" t="s">
        <v>9</v>
      </c>
      <c r="C7">
        <v>84</v>
      </c>
      <c r="D7">
        <v>221</v>
      </c>
      <c r="E7">
        <v>18564</v>
      </c>
      <c r="F7">
        <v>32</v>
      </c>
      <c r="G7">
        <v>52</v>
      </c>
      <c r="H7" t="s">
        <v>13</v>
      </c>
    </row>
    <row r="8" spans="1:8" x14ac:dyDescent="0.3">
      <c r="A8" s="2">
        <v>45567</v>
      </c>
      <c r="B8" t="s">
        <v>10</v>
      </c>
      <c r="C8">
        <v>40</v>
      </c>
      <c r="D8">
        <v>172</v>
      </c>
      <c r="E8">
        <v>6880</v>
      </c>
      <c r="F8">
        <v>20</v>
      </c>
      <c r="G8">
        <v>20</v>
      </c>
      <c r="H8" t="s">
        <v>13</v>
      </c>
    </row>
    <row r="9" spans="1:8" x14ac:dyDescent="0.3">
      <c r="A9" s="2">
        <v>45568</v>
      </c>
      <c r="B9" t="s">
        <v>9</v>
      </c>
      <c r="C9">
        <v>67</v>
      </c>
      <c r="D9">
        <v>179</v>
      </c>
      <c r="E9">
        <v>11993</v>
      </c>
      <c r="F9">
        <v>6</v>
      </c>
      <c r="G9">
        <v>61</v>
      </c>
      <c r="H9" t="s">
        <v>13</v>
      </c>
    </row>
    <row r="10" spans="1:8" x14ac:dyDescent="0.3">
      <c r="A10" s="2">
        <v>45568</v>
      </c>
      <c r="B10" t="s">
        <v>7</v>
      </c>
      <c r="C10">
        <v>58</v>
      </c>
      <c r="D10">
        <v>128</v>
      </c>
      <c r="E10">
        <v>7424</v>
      </c>
      <c r="F10">
        <v>6</v>
      </c>
      <c r="G10">
        <v>52</v>
      </c>
      <c r="H10" t="s">
        <v>13</v>
      </c>
    </row>
    <row r="11" spans="1:8" x14ac:dyDescent="0.3">
      <c r="A11" s="2">
        <v>45568</v>
      </c>
      <c r="B11" t="s">
        <v>9</v>
      </c>
      <c r="C11">
        <v>71</v>
      </c>
      <c r="D11">
        <v>110</v>
      </c>
      <c r="E11">
        <v>7810</v>
      </c>
      <c r="F11">
        <v>15</v>
      </c>
      <c r="G11">
        <v>56</v>
      </c>
      <c r="H11" t="s">
        <v>13</v>
      </c>
    </row>
    <row r="12" spans="1:8" x14ac:dyDescent="0.3">
      <c r="A12" s="2">
        <v>45569</v>
      </c>
      <c r="B12" t="s">
        <v>7</v>
      </c>
      <c r="C12">
        <v>71</v>
      </c>
      <c r="D12">
        <v>233</v>
      </c>
      <c r="E12">
        <v>16543</v>
      </c>
      <c r="F12">
        <v>15</v>
      </c>
      <c r="G12">
        <v>56</v>
      </c>
      <c r="H12" t="s">
        <v>13</v>
      </c>
    </row>
    <row r="13" spans="1:8" x14ac:dyDescent="0.3">
      <c r="A13" s="2">
        <v>45569</v>
      </c>
      <c r="B13" t="s">
        <v>9</v>
      </c>
      <c r="C13">
        <v>59</v>
      </c>
      <c r="D13">
        <v>110</v>
      </c>
      <c r="E13">
        <v>6490</v>
      </c>
      <c r="F13">
        <v>13</v>
      </c>
      <c r="G13">
        <v>46</v>
      </c>
      <c r="H13" t="s">
        <v>13</v>
      </c>
    </row>
    <row r="14" spans="1:8" x14ac:dyDescent="0.3">
      <c r="A14" s="2">
        <v>45570</v>
      </c>
      <c r="B14" t="s">
        <v>8</v>
      </c>
      <c r="C14">
        <v>21</v>
      </c>
      <c r="D14">
        <v>243</v>
      </c>
      <c r="E14">
        <v>5103</v>
      </c>
      <c r="F14">
        <v>6</v>
      </c>
      <c r="G14">
        <v>15</v>
      </c>
      <c r="H14" t="s">
        <v>13</v>
      </c>
    </row>
    <row r="15" spans="1:8" x14ac:dyDescent="0.3">
      <c r="A15" s="2">
        <v>45570</v>
      </c>
      <c r="B15" t="s">
        <v>7</v>
      </c>
      <c r="C15">
        <v>71</v>
      </c>
      <c r="D15">
        <v>161</v>
      </c>
      <c r="E15">
        <v>11431</v>
      </c>
      <c r="F15">
        <v>29</v>
      </c>
      <c r="G15">
        <v>42</v>
      </c>
      <c r="H15" t="s">
        <v>13</v>
      </c>
    </row>
    <row r="16" spans="1:8" x14ac:dyDescent="0.3">
      <c r="A16" s="2">
        <v>45570</v>
      </c>
      <c r="B16" t="s">
        <v>10</v>
      </c>
      <c r="C16">
        <v>88</v>
      </c>
      <c r="D16">
        <v>211</v>
      </c>
      <c r="E16">
        <v>18568</v>
      </c>
      <c r="F16">
        <v>13</v>
      </c>
      <c r="G16">
        <v>75</v>
      </c>
      <c r="H16" t="s">
        <v>13</v>
      </c>
    </row>
    <row r="17" spans="1:8" x14ac:dyDescent="0.3">
      <c r="A17" s="2">
        <v>45571</v>
      </c>
      <c r="B17" t="s">
        <v>9</v>
      </c>
      <c r="C17">
        <v>29</v>
      </c>
      <c r="D17">
        <v>132</v>
      </c>
      <c r="E17">
        <v>3828</v>
      </c>
      <c r="F17">
        <v>4</v>
      </c>
      <c r="G17">
        <v>25</v>
      </c>
      <c r="H17" t="s">
        <v>13</v>
      </c>
    </row>
    <row r="18" spans="1:8" x14ac:dyDescent="0.3">
      <c r="A18" s="2">
        <v>45571</v>
      </c>
      <c r="B18" t="s">
        <v>10</v>
      </c>
      <c r="C18">
        <v>35</v>
      </c>
      <c r="D18">
        <v>147</v>
      </c>
      <c r="E18">
        <v>5145</v>
      </c>
      <c r="F18">
        <v>13</v>
      </c>
      <c r="G18">
        <v>22</v>
      </c>
      <c r="H18" t="s">
        <v>13</v>
      </c>
    </row>
    <row r="19" spans="1:8" x14ac:dyDescent="0.3">
      <c r="A19" s="2">
        <v>45571</v>
      </c>
      <c r="B19" t="s">
        <v>7</v>
      </c>
      <c r="C19">
        <v>100</v>
      </c>
      <c r="D19">
        <v>106</v>
      </c>
      <c r="E19">
        <v>10600</v>
      </c>
      <c r="F19">
        <v>32</v>
      </c>
      <c r="G19">
        <v>68</v>
      </c>
      <c r="H19" t="s">
        <v>13</v>
      </c>
    </row>
    <row r="20" spans="1:8" x14ac:dyDescent="0.3">
      <c r="A20" s="2">
        <v>45571</v>
      </c>
      <c r="B20" t="s">
        <v>7</v>
      </c>
      <c r="C20">
        <v>88</v>
      </c>
      <c r="D20">
        <v>106</v>
      </c>
      <c r="E20">
        <v>9328</v>
      </c>
      <c r="F20">
        <v>17</v>
      </c>
      <c r="G20">
        <v>71</v>
      </c>
      <c r="H20" t="s">
        <v>13</v>
      </c>
    </row>
    <row r="21" spans="1:8" x14ac:dyDescent="0.3">
      <c r="A21" s="2">
        <v>45572</v>
      </c>
      <c r="B21" t="s">
        <v>10</v>
      </c>
      <c r="C21">
        <v>86</v>
      </c>
      <c r="D21">
        <v>145</v>
      </c>
      <c r="E21">
        <v>12470</v>
      </c>
      <c r="F21">
        <v>35</v>
      </c>
      <c r="G21">
        <v>51</v>
      </c>
      <c r="H21" t="s">
        <v>13</v>
      </c>
    </row>
    <row r="22" spans="1:8" x14ac:dyDescent="0.3">
      <c r="A22" s="2">
        <v>45573</v>
      </c>
      <c r="B22" t="s">
        <v>10</v>
      </c>
      <c r="C22">
        <v>42</v>
      </c>
      <c r="D22">
        <v>180</v>
      </c>
      <c r="E22">
        <v>7560</v>
      </c>
      <c r="F22">
        <v>19</v>
      </c>
      <c r="G22">
        <v>23</v>
      </c>
      <c r="H22" t="s">
        <v>13</v>
      </c>
    </row>
    <row r="23" spans="1:8" x14ac:dyDescent="0.3">
      <c r="A23" s="2">
        <v>45573</v>
      </c>
      <c r="B23" t="s">
        <v>7</v>
      </c>
      <c r="C23">
        <v>40</v>
      </c>
      <c r="D23">
        <v>125</v>
      </c>
      <c r="E23">
        <v>5000</v>
      </c>
      <c r="F23">
        <v>6</v>
      </c>
      <c r="G23">
        <v>34</v>
      </c>
      <c r="H23" t="s">
        <v>13</v>
      </c>
    </row>
    <row r="24" spans="1:8" x14ac:dyDescent="0.3">
      <c r="A24" s="2">
        <v>45574</v>
      </c>
      <c r="B24" t="s">
        <v>8</v>
      </c>
      <c r="C24">
        <v>29</v>
      </c>
      <c r="D24">
        <v>177</v>
      </c>
      <c r="E24">
        <v>5133</v>
      </c>
      <c r="F24">
        <v>13</v>
      </c>
      <c r="G24">
        <v>16</v>
      </c>
      <c r="H24" t="s">
        <v>13</v>
      </c>
    </row>
    <row r="25" spans="1:8" x14ac:dyDescent="0.3">
      <c r="A25" s="2">
        <v>45575</v>
      </c>
      <c r="B25" t="s">
        <v>7</v>
      </c>
      <c r="C25">
        <v>59</v>
      </c>
      <c r="D25">
        <v>158</v>
      </c>
      <c r="E25">
        <v>9322</v>
      </c>
      <c r="F25">
        <v>9</v>
      </c>
      <c r="G25">
        <v>50</v>
      </c>
      <c r="H25" t="s">
        <v>13</v>
      </c>
    </row>
    <row r="26" spans="1:8" x14ac:dyDescent="0.3">
      <c r="A26" s="2">
        <v>45575</v>
      </c>
      <c r="B26" t="s">
        <v>10</v>
      </c>
      <c r="C26">
        <v>94</v>
      </c>
      <c r="D26">
        <v>238</v>
      </c>
      <c r="E26">
        <v>22372</v>
      </c>
      <c r="F26">
        <v>10</v>
      </c>
      <c r="G26">
        <v>84</v>
      </c>
      <c r="H26" t="s">
        <v>13</v>
      </c>
    </row>
    <row r="27" spans="1:8" x14ac:dyDescent="0.3">
      <c r="A27" s="2">
        <v>45576</v>
      </c>
      <c r="B27" t="s">
        <v>7</v>
      </c>
      <c r="C27">
        <v>92</v>
      </c>
      <c r="D27">
        <v>168</v>
      </c>
      <c r="E27">
        <v>15456</v>
      </c>
      <c r="F27">
        <v>8</v>
      </c>
      <c r="G27">
        <v>84</v>
      </c>
      <c r="H27" t="s">
        <v>13</v>
      </c>
    </row>
    <row r="28" spans="1:8" x14ac:dyDescent="0.3">
      <c r="A28" s="2">
        <v>45576</v>
      </c>
      <c r="B28" t="s">
        <v>7</v>
      </c>
      <c r="C28">
        <v>91</v>
      </c>
      <c r="D28">
        <v>158</v>
      </c>
      <c r="E28">
        <v>14378</v>
      </c>
      <c r="F28">
        <v>39</v>
      </c>
      <c r="G28">
        <v>52</v>
      </c>
      <c r="H28" t="s">
        <v>13</v>
      </c>
    </row>
    <row r="29" spans="1:8" x14ac:dyDescent="0.3">
      <c r="A29" s="2">
        <v>45576</v>
      </c>
      <c r="B29" t="s">
        <v>10</v>
      </c>
      <c r="C29">
        <v>47</v>
      </c>
      <c r="D29">
        <v>136</v>
      </c>
      <c r="E29">
        <v>6392</v>
      </c>
      <c r="F29">
        <v>22</v>
      </c>
      <c r="G29">
        <v>25</v>
      </c>
      <c r="H29" t="s">
        <v>13</v>
      </c>
    </row>
    <row r="30" spans="1:8" x14ac:dyDescent="0.3">
      <c r="A30" s="2">
        <v>45576</v>
      </c>
      <c r="B30" t="s">
        <v>10</v>
      </c>
      <c r="C30">
        <v>97</v>
      </c>
      <c r="D30">
        <v>240</v>
      </c>
      <c r="E30">
        <v>23280</v>
      </c>
      <c r="F30">
        <v>17</v>
      </c>
      <c r="G30">
        <v>80</v>
      </c>
      <c r="H30" t="s">
        <v>13</v>
      </c>
    </row>
    <row r="31" spans="1:8" x14ac:dyDescent="0.3">
      <c r="A31" s="2">
        <v>45576</v>
      </c>
      <c r="B31" t="s">
        <v>9</v>
      </c>
      <c r="C31">
        <v>36</v>
      </c>
      <c r="D31">
        <v>160</v>
      </c>
      <c r="E31">
        <v>5760</v>
      </c>
      <c r="F31">
        <v>5</v>
      </c>
      <c r="G31">
        <v>31</v>
      </c>
      <c r="H31" t="s">
        <v>13</v>
      </c>
    </row>
    <row r="32" spans="1:8" x14ac:dyDescent="0.3">
      <c r="A32" s="2">
        <v>45577</v>
      </c>
      <c r="B32" t="s">
        <v>9</v>
      </c>
      <c r="C32">
        <v>98</v>
      </c>
      <c r="D32">
        <v>209</v>
      </c>
      <c r="E32">
        <v>20482</v>
      </c>
      <c r="F32">
        <v>13</v>
      </c>
      <c r="G32">
        <v>85</v>
      </c>
      <c r="H32" t="s">
        <v>13</v>
      </c>
    </row>
    <row r="33" spans="1:8" x14ac:dyDescent="0.3">
      <c r="A33" s="2">
        <v>45579</v>
      </c>
      <c r="B33" t="s">
        <v>8</v>
      </c>
      <c r="C33">
        <v>54</v>
      </c>
      <c r="D33">
        <v>241</v>
      </c>
      <c r="E33">
        <v>13014</v>
      </c>
      <c r="F33">
        <v>3</v>
      </c>
      <c r="G33">
        <v>51</v>
      </c>
      <c r="H33" t="s">
        <v>13</v>
      </c>
    </row>
    <row r="34" spans="1:8" x14ac:dyDescent="0.3">
      <c r="A34" s="2">
        <v>45580</v>
      </c>
      <c r="B34" t="s">
        <v>8</v>
      </c>
      <c r="C34">
        <v>71</v>
      </c>
      <c r="D34">
        <v>278</v>
      </c>
      <c r="E34">
        <v>19738</v>
      </c>
      <c r="F34">
        <v>30</v>
      </c>
      <c r="G34">
        <v>41</v>
      </c>
      <c r="H34" t="s">
        <v>13</v>
      </c>
    </row>
    <row r="35" spans="1:8" x14ac:dyDescent="0.3">
      <c r="A35" s="2">
        <v>45580</v>
      </c>
      <c r="B35" t="s">
        <v>10</v>
      </c>
      <c r="C35">
        <v>94</v>
      </c>
      <c r="D35">
        <v>244</v>
      </c>
      <c r="E35">
        <v>22936</v>
      </c>
      <c r="F35">
        <v>32</v>
      </c>
      <c r="G35">
        <v>62</v>
      </c>
      <c r="H35" t="s">
        <v>13</v>
      </c>
    </row>
    <row r="36" spans="1:8" x14ac:dyDescent="0.3">
      <c r="A36" s="2">
        <v>45580</v>
      </c>
      <c r="B36" t="s">
        <v>7</v>
      </c>
      <c r="C36">
        <v>82</v>
      </c>
      <c r="D36">
        <v>242</v>
      </c>
      <c r="E36">
        <v>19844</v>
      </c>
      <c r="F36">
        <v>7</v>
      </c>
      <c r="G36">
        <v>75</v>
      </c>
      <c r="H36" t="s">
        <v>13</v>
      </c>
    </row>
    <row r="37" spans="1:8" x14ac:dyDescent="0.3">
      <c r="A37" s="2">
        <v>45581</v>
      </c>
      <c r="B37" t="s">
        <v>10</v>
      </c>
      <c r="C37">
        <v>61</v>
      </c>
      <c r="D37">
        <v>103</v>
      </c>
      <c r="E37">
        <v>6283</v>
      </c>
      <c r="F37">
        <v>25</v>
      </c>
      <c r="G37">
        <v>36</v>
      </c>
      <c r="H37" t="s">
        <v>13</v>
      </c>
    </row>
    <row r="38" spans="1:8" x14ac:dyDescent="0.3">
      <c r="A38" s="2">
        <v>45581</v>
      </c>
      <c r="B38" t="s">
        <v>8</v>
      </c>
      <c r="C38">
        <v>75</v>
      </c>
      <c r="D38">
        <v>138</v>
      </c>
      <c r="E38">
        <v>10350</v>
      </c>
      <c r="F38">
        <v>31</v>
      </c>
      <c r="G38">
        <v>44</v>
      </c>
      <c r="H38" t="s">
        <v>13</v>
      </c>
    </row>
    <row r="39" spans="1:8" x14ac:dyDescent="0.3">
      <c r="A39" s="2">
        <v>45582</v>
      </c>
      <c r="B39" t="s">
        <v>9</v>
      </c>
      <c r="C39">
        <v>99</v>
      </c>
      <c r="D39">
        <v>300</v>
      </c>
      <c r="E39">
        <v>29700</v>
      </c>
      <c r="F39">
        <v>10</v>
      </c>
      <c r="G39">
        <v>89</v>
      </c>
      <c r="H39" t="s">
        <v>13</v>
      </c>
    </row>
    <row r="40" spans="1:8" x14ac:dyDescent="0.3">
      <c r="A40" s="2">
        <v>45582</v>
      </c>
      <c r="B40" t="s">
        <v>7</v>
      </c>
      <c r="C40">
        <v>70</v>
      </c>
      <c r="D40">
        <v>145</v>
      </c>
      <c r="E40">
        <v>10150</v>
      </c>
      <c r="F40">
        <v>22</v>
      </c>
      <c r="G40">
        <v>48</v>
      </c>
      <c r="H40" t="s">
        <v>13</v>
      </c>
    </row>
    <row r="41" spans="1:8" x14ac:dyDescent="0.3">
      <c r="A41" s="2">
        <v>45582</v>
      </c>
      <c r="B41" t="s">
        <v>7</v>
      </c>
      <c r="C41">
        <v>12</v>
      </c>
      <c r="D41">
        <v>118</v>
      </c>
      <c r="E41">
        <v>1416</v>
      </c>
      <c r="F41">
        <v>3</v>
      </c>
      <c r="G41">
        <v>9</v>
      </c>
      <c r="H41" t="s">
        <v>13</v>
      </c>
    </row>
    <row r="42" spans="1:8" x14ac:dyDescent="0.3">
      <c r="A42" s="2">
        <v>45582</v>
      </c>
      <c r="B42" t="s">
        <v>9</v>
      </c>
      <c r="C42">
        <v>62</v>
      </c>
      <c r="D42">
        <v>188</v>
      </c>
      <c r="E42">
        <v>11656</v>
      </c>
      <c r="F42">
        <v>17</v>
      </c>
      <c r="G42">
        <v>45</v>
      </c>
      <c r="H42" t="s">
        <v>13</v>
      </c>
    </row>
    <row r="43" spans="1:8" x14ac:dyDescent="0.3">
      <c r="A43" s="2">
        <v>45583</v>
      </c>
      <c r="B43" t="s">
        <v>7</v>
      </c>
      <c r="C43">
        <v>24</v>
      </c>
      <c r="D43">
        <v>217</v>
      </c>
      <c r="E43">
        <v>5208</v>
      </c>
      <c r="F43">
        <v>6</v>
      </c>
      <c r="G43">
        <v>18</v>
      </c>
      <c r="H43" t="s">
        <v>13</v>
      </c>
    </row>
    <row r="44" spans="1:8" x14ac:dyDescent="0.3">
      <c r="A44" s="2">
        <v>45584</v>
      </c>
      <c r="B44" t="s">
        <v>7</v>
      </c>
      <c r="C44">
        <v>72</v>
      </c>
      <c r="D44">
        <v>195</v>
      </c>
      <c r="E44">
        <v>14040</v>
      </c>
      <c r="F44">
        <v>33</v>
      </c>
      <c r="G44">
        <v>39</v>
      </c>
      <c r="H44" t="s">
        <v>13</v>
      </c>
    </row>
    <row r="45" spans="1:8" x14ac:dyDescent="0.3">
      <c r="A45" s="2">
        <v>45584</v>
      </c>
      <c r="B45" t="s">
        <v>10</v>
      </c>
      <c r="C45">
        <v>67</v>
      </c>
      <c r="D45">
        <v>221</v>
      </c>
      <c r="E45">
        <v>14807</v>
      </c>
      <c r="F45">
        <v>7</v>
      </c>
      <c r="G45">
        <v>60</v>
      </c>
      <c r="H45" t="s">
        <v>13</v>
      </c>
    </row>
    <row r="46" spans="1:8" x14ac:dyDescent="0.3">
      <c r="A46" s="2">
        <v>45584</v>
      </c>
      <c r="B46" t="s">
        <v>7</v>
      </c>
      <c r="C46">
        <v>98</v>
      </c>
      <c r="D46">
        <v>126</v>
      </c>
      <c r="E46">
        <v>12348</v>
      </c>
      <c r="F46">
        <v>48</v>
      </c>
      <c r="G46">
        <v>50</v>
      </c>
      <c r="H46" t="s">
        <v>13</v>
      </c>
    </row>
    <row r="47" spans="1:8" x14ac:dyDescent="0.3">
      <c r="A47" s="2">
        <v>45584</v>
      </c>
      <c r="B47" t="s">
        <v>9</v>
      </c>
      <c r="C47">
        <v>41</v>
      </c>
      <c r="D47">
        <v>160</v>
      </c>
      <c r="E47">
        <v>6560</v>
      </c>
      <c r="F47">
        <v>18</v>
      </c>
      <c r="G47">
        <v>23</v>
      </c>
      <c r="H47" t="s">
        <v>13</v>
      </c>
    </row>
    <row r="48" spans="1:8" x14ac:dyDescent="0.3">
      <c r="A48" s="2">
        <v>45585</v>
      </c>
      <c r="B48" t="s">
        <v>10</v>
      </c>
      <c r="C48">
        <v>20</v>
      </c>
      <c r="D48">
        <v>206</v>
      </c>
      <c r="E48">
        <v>4120</v>
      </c>
      <c r="F48">
        <v>10</v>
      </c>
      <c r="G48">
        <v>10</v>
      </c>
      <c r="H48" t="s">
        <v>13</v>
      </c>
    </row>
    <row r="49" spans="1:8" x14ac:dyDescent="0.3">
      <c r="A49" s="2">
        <v>45585</v>
      </c>
      <c r="B49" t="s">
        <v>10</v>
      </c>
      <c r="C49">
        <v>24</v>
      </c>
      <c r="D49">
        <v>235</v>
      </c>
      <c r="E49">
        <v>5640</v>
      </c>
      <c r="F49">
        <v>4</v>
      </c>
      <c r="G49">
        <v>20</v>
      </c>
      <c r="H49" t="s">
        <v>13</v>
      </c>
    </row>
    <row r="50" spans="1:8" x14ac:dyDescent="0.3">
      <c r="A50" s="2">
        <v>45586</v>
      </c>
      <c r="B50" t="s">
        <v>8</v>
      </c>
      <c r="C50">
        <v>78</v>
      </c>
      <c r="D50">
        <v>115</v>
      </c>
      <c r="E50">
        <v>8970</v>
      </c>
      <c r="F50">
        <v>9</v>
      </c>
      <c r="G50">
        <v>69</v>
      </c>
      <c r="H50" t="s">
        <v>13</v>
      </c>
    </row>
    <row r="51" spans="1:8" x14ac:dyDescent="0.3">
      <c r="A51" s="2">
        <v>45586</v>
      </c>
      <c r="B51" t="s">
        <v>8</v>
      </c>
      <c r="C51">
        <v>31</v>
      </c>
      <c r="D51">
        <v>257</v>
      </c>
      <c r="E51">
        <v>7967</v>
      </c>
      <c r="F51">
        <v>2</v>
      </c>
      <c r="G51">
        <v>29</v>
      </c>
      <c r="H51" t="s">
        <v>13</v>
      </c>
    </row>
    <row r="52" spans="1:8" x14ac:dyDescent="0.3">
      <c r="A52" s="2">
        <v>45586</v>
      </c>
      <c r="B52" t="s">
        <v>9</v>
      </c>
      <c r="C52">
        <v>32</v>
      </c>
      <c r="D52">
        <v>185</v>
      </c>
      <c r="E52">
        <v>5920</v>
      </c>
      <c r="F52">
        <v>16</v>
      </c>
      <c r="G52">
        <v>16</v>
      </c>
      <c r="H52" t="s">
        <v>13</v>
      </c>
    </row>
    <row r="53" spans="1:8" x14ac:dyDescent="0.3">
      <c r="A53" s="2">
        <v>45586</v>
      </c>
      <c r="B53" t="s">
        <v>8</v>
      </c>
      <c r="C53">
        <v>59</v>
      </c>
      <c r="D53">
        <v>220</v>
      </c>
      <c r="E53">
        <v>12980</v>
      </c>
      <c r="F53">
        <v>11</v>
      </c>
      <c r="G53">
        <v>48</v>
      </c>
      <c r="H53" t="s">
        <v>13</v>
      </c>
    </row>
    <row r="54" spans="1:8" x14ac:dyDescent="0.3">
      <c r="A54" s="2">
        <v>45587</v>
      </c>
      <c r="B54" t="s">
        <v>7</v>
      </c>
      <c r="C54">
        <v>21</v>
      </c>
      <c r="D54">
        <v>201</v>
      </c>
      <c r="E54">
        <v>4221</v>
      </c>
      <c r="F54">
        <v>8</v>
      </c>
      <c r="G54">
        <v>13</v>
      </c>
      <c r="H54" t="s">
        <v>13</v>
      </c>
    </row>
    <row r="55" spans="1:8" x14ac:dyDescent="0.3">
      <c r="A55" s="2">
        <v>45587</v>
      </c>
      <c r="B55" t="s">
        <v>8</v>
      </c>
      <c r="C55">
        <v>72</v>
      </c>
      <c r="D55">
        <v>198</v>
      </c>
      <c r="E55">
        <v>14256</v>
      </c>
      <c r="F55">
        <v>25</v>
      </c>
      <c r="G55">
        <v>47</v>
      </c>
      <c r="H55" t="s">
        <v>13</v>
      </c>
    </row>
    <row r="56" spans="1:8" x14ac:dyDescent="0.3">
      <c r="A56" s="2">
        <v>45587</v>
      </c>
      <c r="B56" t="s">
        <v>9</v>
      </c>
      <c r="C56">
        <v>79</v>
      </c>
      <c r="D56">
        <v>142</v>
      </c>
      <c r="E56">
        <v>11218</v>
      </c>
      <c r="F56">
        <v>12</v>
      </c>
      <c r="G56">
        <v>67</v>
      </c>
      <c r="H56" t="s">
        <v>13</v>
      </c>
    </row>
    <row r="57" spans="1:8" x14ac:dyDescent="0.3">
      <c r="A57" s="2">
        <v>45587</v>
      </c>
      <c r="B57" t="s">
        <v>10</v>
      </c>
      <c r="C57">
        <v>12</v>
      </c>
      <c r="D57">
        <v>148</v>
      </c>
      <c r="E57">
        <v>1776</v>
      </c>
      <c r="F57">
        <v>4</v>
      </c>
      <c r="G57">
        <v>8</v>
      </c>
      <c r="H57" t="s">
        <v>13</v>
      </c>
    </row>
    <row r="58" spans="1:8" x14ac:dyDescent="0.3">
      <c r="A58" s="2">
        <v>45587</v>
      </c>
      <c r="B58" t="s">
        <v>7</v>
      </c>
      <c r="C58">
        <v>46</v>
      </c>
      <c r="D58">
        <v>130</v>
      </c>
      <c r="E58">
        <v>5980</v>
      </c>
      <c r="F58">
        <v>7</v>
      </c>
      <c r="G58">
        <v>39</v>
      </c>
      <c r="H58" t="s">
        <v>13</v>
      </c>
    </row>
    <row r="59" spans="1:8" x14ac:dyDescent="0.3">
      <c r="A59" s="2">
        <v>45588</v>
      </c>
      <c r="B59" t="s">
        <v>9</v>
      </c>
      <c r="C59">
        <v>88</v>
      </c>
      <c r="D59">
        <v>263</v>
      </c>
      <c r="E59">
        <v>23144</v>
      </c>
      <c r="F59">
        <v>35</v>
      </c>
      <c r="G59">
        <v>53</v>
      </c>
      <c r="H59" t="s">
        <v>13</v>
      </c>
    </row>
    <row r="60" spans="1:8" x14ac:dyDescent="0.3">
      <c r="A60" s="2">
        <v>45588</v>
      </c>
      <c r="B60" t="s">
        <v>8</v>
      </c>
      <c r="C60">
        <v>75</v>
      </c>
      <c r="D60">
        <v>263</v>
      </c>
      <c r="E60">
        <v>19725</v>
      </c>
      <c r="F60">
        <v>14</v>
      </c>
      <c r="G60">
        <v>61</v>
      </c>
      <c r="H60" t="s">
        <v>13</v>
      </c>
    </row>
    <row r="61" spans="1:8" x14ac:dyDescent="0.3">
      <c r="A61" s="2">
        <v>45589</v>
      </c>
      <c r="B61" t="s">
        <v>7</v>
      </c>
      <c r="C61">
        <v>76</v>
      </c>
      <c r="D61">
        <v>257</v>
      </c>
      <c r="E61">
        <v>19532</v>
      </c>
      <c r="F61">
        <v>35</v>
      </c>
      <c r="G61">
        <v>41</v>
      </c>
      <c r="H61" t="s">
        <v>13</v>
      </c>
    </row>
    <row r="62" spans="1:8" x14ac:dyDescent="0.3">
      <c r="A62" s="2">
        <v>45590</v>
      </c>
      <c r="B62" t="s">
        <v>8</v>
      </c>
      <c r="C62">
        <v>21</v>
      </c>
      <c r="D62">
        <v>269</v>
      </c>
      <c r="E62">
        <v>5649</v>
      </c>
      <c r="F62">
        <v>1</v>
      </c>
      <c r="G62">
        <v>20</v>
      </c>
      <c r="H62" t="s">
        <v>13</v>
      </c>
    </row>
    <row r="63" spans="1:8" x14ac:dyDescent="0.3">
      <c r="A63" s="2">
        <v>45590</v>
      </c>
      <c r="B63" t="s">
        <v>7</v>
      </c>
      <c r="C63">
        <v>92</v>
      </c>
      <c r="D63">
        <v>290</v>
      </c>
      <c r="E63">
        <v>26680</v>
      </c>
      <c r="F63">
        <v>35</v>
      </c>
      <c r="G63">
        <v>57</v>
      </c>
      <c r="H63" t="s">
        <v>13</v>
      </c>
    </row>
    <row r="64" spans="1:8" x14ac:dyDescent="0.3">
      <c r="A64" s="2">
        <v>45590</v>
      </c>
      <c r="B64" t="s">
        <v>10</v>
      </c>
      <c r="C64">
        <v>78</v>
      </c>
      <c r="D64">
        <v>131</v>
      </c>
      <c r="E64">
        <v>10218</v>
      </c>
      <c r="F64">
        <v>28</v>
      </c>
      <c r="G64">
        <v>50</v>
      </c>
      <c r="H64" t="s">
        <v>13</v>
      </c>
    </row>
    <row r="65" spans="1:8" x14ac:dyDescent="0.3">
      <c r="A65" s="2">
        <v>45590</v>
      </c>
      <c r="B65" t="s">
        <v>9</v>
      </c>
      <c r="C65">
        <v>90</v>
      </c>
      <c r="D65">
        <v>173</v>
      </c>
      <c r="E65">
        <v>15570</v>
      </c>
      <c r="F65">
        <v>20</v>
      </c>
      <c r="G65">
        <v>70</v>
      </c>
      <c r="H65" t="s">
        <v>13</v>
      </c>
    </row>
    <row r="66" spans="1:8" x14ac:dyDescent="0.3">
      <c r="A66" s="2">
        <v>45592</v>
      </c>
      <c r="B66" t="s">
        <v>7</v>
      </c>
      <c r="C66">
        <v>96</v>
      </c>
      <c r="D66">
        <v>134</v>
      </c>
      <c r="E66">
        <v>12864</v>
      </c>
      <c r="F66">
        <v>41</v>
      </c>
      <c r="G66">
        <v>55</v>
      </c>
      <c r="H66" t="s">
        <v>13</v>
      </c>
    </row>
    <row r="67" spans="1:8" x14ac:dyDescent="0.3">
      <c r="A67" s="2">
        <v>45592</v>
      </c>
      <c r="B67" t="s">
        <v>10</v>
      </c>
      <c r="C67">
        <v>57</v>
      </c>
      <c r="D67">
        <v>205</v>
      </c>
      <c r="E67">
        <v>11685</v>
      </c>
      <c r="F67">
        <v>7</v>
      </c>
      <c r="G67">
        <v>50</v>
      </c>
      <c r="H67" t="s">
        <v>13</v>
      </c>
    </row>
    <row r="68" spans="1:8" x14ac:dyDescent="0.3">
      <c r="A68" s="2">
        <v>45592</v>
      </c>
      <c r="B68" t="s">
        <v>9</v>
      </c>
      <c r="C68">
        <v>70</v>
      </c>
      <c r="D68">
        <v>128</v>
      </c>
      <c r="E68">
        <v>8960</v>
      </c>
      <c r="F68">
        <v>32</v>
      </c>
      <c r="G68">
        <v>38</v>
      </c>
      <c r="H68" t="s">
        <v>13</v>
      </c>
    </row>
    <row r="69" spans="1:8" x14ac:dyDescent="0.3">
      <c r="A69" s="2">
        <v>45593</v>
      </c>
      <c r="B69" t="s">
        <v>9</v>
      </c>
      <c r="C69">
        <v>75</v>
      </c>
      <c r="D69">
        <v>142</v>
      </c>
      <c r="E69">
        <v>10650</v>
      </c>
      <c r="F69">
        <v>27</v>
      </c>
      <c r="G69">
        <v>48</v>
      </c>
      <c r="H69" t="s">
        <v>13</v>
      </c>
    </row>
    <row r="70" spans="1:8" x14ac:dyDescent="0.3">
      <c r="A70" s="2">
        <v>45593</v>
      </c>
      <c r="B70" t="s">
        <v>7</v>
      </c>
      <c r="C70">
        <v>64</v>
      </c>
      <c r="D70">
        <v>204</v>
      </c>
      <c r="E70">
        <v>13056</v>
      </c>
      <c r="F70">
        <v>26</v>
      </c>
      <c r="G70">
        <v>38</v>
      </c>
      <c r="H70" t="s">
        <v>13</v>
      </c>
    </row>
    <row r="71" spans="1:8" x14ac:dyDescent="0.3">
      <c r="A71" s="2">
        <v>45594</v>
      </c>
      <c r="B71" t="s">
        <v>8</v>
      </c>
      <c r="C71">
        <v>35</v>
      </c>
      <c r="D71">
        <v>132</v>
      </c>
      <c r="E71">
        <v>4620</v>
      </c>
      <c r="F71">
        <v>7</v>
      </c>
      <c r="G71">
        <v>28</v>
      </c>
      <c r="H71" t="s">
        <v>13</v>
      </c>
    </row>
    <row r="72" spans="1:8" x14ac:dyDescent="0.3">
      <c r="A72" s="2">
        <v>45595</v>
      </c>
      <c r="B72" t="s">
        <v>7</v>
      </c>
      <c r="C72">
        <v>27</v>
      </c>
      <c r="D72">
        <v>274</v>
      </c>
      <c r="E72">
        <v>7398</v>
      </c>
      <c r="F72">
        <v>11</v>
      </c>
      <c r="G72">
        <v>16</v>
      </c>
      <c r="H72" t="s">
        <v>13</v>
      </c>
    </row>
    <row r="73" spans="1:8" x14ac:dyDescent="0.3">
      <c r="A73" s="2">
        <v>45595</v>
      </c>
      <c r="B73" t="s">
        <v>9</v>
      </c>
      <c r="C73">
        <v>19</v>
      </c>
      <c r="D73">
        <v>112</v>
      </c>
      <c r="E73">
        <v>2128</v>
      </c>
      <c r="F73">
        <v>2</v>
      </c>
      <c r="G73">
        <v>17</v>
      </c>
      <c r="H73" t="s">
        <v>13</v>
      </c>
    </row>
    <row r="74" spans="1:8" x14ac:dyDescent="0.3">
      <c r="A74" s="2">
        <v>45595</v>
      </c>
      <c r="B74" t="s">
        <v>8</v>
      </c>
      <c r="C74">
        <v>58</v>
      </c>
      <c r="D74">
        <v>264</v>
      </c>
      <c r="E74">
        <v>15312</v>
      </c>
      <c r="F74">
        <v>5</v>
      </c>
      <c r="G74">
        <v>53</v>
      </c>
      <c r="H74" t="s">
        <v>13</v>
      </c>
    </row>
    <row r="75" spans="1:8" x14ac:dyDescent="0.3">
      <c r="A75" s="2">
        <v>45595</v>
      </c>
      <c r="B75" t="s">
        <v>8</v>
      </c>
      <c r="C75">
        <v>96</v>
      </c>
      <c r="D75">
        <v>278</v>
      </c>
      <c r="E75">
        <v>26688</v>
      </c>
      <c r="F75">
        <v>2</v>
      </c>
      <c r="G75">
        <v>94</v>
      </c>
      <c r="H75" t="s">
        <v>13</v>
      </c>
    </row>
    <row r="76" spans="1:8" x14ac:dyDescent="0.3">
      <c r="A76" s="2">
        <v>45596</v>
      </c>
      <c r="B76" t="s">
        <v>7</v>
      </c>
      <c r="C76">
        <v>79</v>
      </c>
      <c r="D76">
        <v>131</v>
      </c>
      <c r="E76">
        <v>10349</v>
      </c>
      <c r="F76">
        <v>9</v>
      </c>
      <c r="G76">
        <v>70</v>
      </c>
      <c r="H76" t="s">
        <v>13</v>
      </c>
    </row>
    <row r="77" spans="1:8" x14ac:dyDescent="0.3">
      <c r="A77" s="2">
        <v>45597</v>
      </c>
      <c r="B77" t="s">
        <v>7</v>
      </c>
      <c r="C77">
        <v>37</v>
      </c>
      <c r="D77">
        <v>169</v>
      </c>
      <c r="E77">
        <v>6253</v>
      </c>
      <c r="F77">
        <v>17</v>
      </c>
      <c r="G77">
        <v>20</v>
      </c>
      <c r="H77" t="s">
        <v>11</v>
      </c>
    </row>
    <row r="78" spans="1:8" x14ac:dyDescent="0.3">
      <c r="A78" s="2">
        <v>45597</v>
      </c>
      <c r="B78" t="s">
        <v>9</v>
      </c>
      <c r="C78">
        <v>54</v>
      </c>
      <c r="D78">
        <v>131</v>
      </c>
      <c r="E78">
        <v>7074</v>
      </c>
      <c r="F78">
        <v>21</v>
      </c>
      <c r="G78">
        <v>33</v>
      </c>
      <c r="H78" t="s">
        <v>11</v>
      </c>
    </row>
    <row r="79" spans="1:8" x14ac:dyDescent="0.3">
      <c r="A79" s="2">
        <v>45597</v>
      </c>
      <c r="B79" t="s">
        <v>9</v>
      </c>
      <c r="C79">
        <v>100</v>
      </c>
      <c r="D79">
        <v>105</v>
      </c>
      <c r="E79">
        <v>10500</v>
      </c>
      <c r="F79">
        <v>36</v>
      </c>
      <c r="G79">
        <v>64</v>
      </c>
      <c r="H79" t="s">
        <v>11</v>
      </c>
    </row>
    <row r="80" spans="1:8" x14ac:dyDescent="0.3">
      <c r="A80" s="2">
        <v>45597</v>
      </c>
      <c r="B80" t="s">
        <v>7</v>
      </c>
      <c r="C80">
        <v>17</v>
      </c>
      <c r="D80">
        <v>180</v>
      </c>
      <c r="E80">
        <v>3060</v>
      </c>
      <c r="F80">
        <v>3</v>
      </c>
      <c r="G80">
        <v>14</v>
      </c>
      <c r="H80" t="s">
        <v>11</v>
      </c>
    </row>
    <row r="81" spans="1:8" x14ac:dyDescent="0.3">
      <c r="A81" s="2">
        <v>45597</v>
      </c>
      <c r="B81" t="s">
        <v>7</v>
      </c>
      <c r="C81">
        <v>20</v>
      </c>
      <c r="D81">
        <v>107</v>
      </c>
      <c r="E81">
        <v>2140</v>
      </c>
      <c r="F81">
        <v>4</v>
      </c>
      <c r="G81">
        <v>16</v>
      </c>
      <c r="H81" t="s">
        <v>11</v>
      </c>
    </row>
    <row r="82" spans="1:8" x14ac:dyDescent="0.3">
      <c r="A82" s="2">
        <v>45598</v>
      </c>
      <c r="B82" t="s">
        <v>9</v>
      </c>
      <c r="C82">
        <v>80</v>
      </c>
      <c r="D82">
        <v>226</v>
      </c>
      <c r="E82">
        <v>18080</v>
      </c>
      <c r="F82">
        <v>40</v>
      </c>
      <c r="G82">
        <v>40</v>
      </c>
      <c r="H82" t="s">
        <v>11</v>
      </c>
    </row>
    <row r="83" spans="1:8" x14ac:dyDescent="0.3">
      <c r="A83" s="2">
        <v>45599</v>
      </c>
      <c r="B83" t="s">
        <v>8</v>
      </c>
      <c r="C83">
        <v>55</v>
      </c>
      <c r="D83">
        <v>181</v>
      </c>
      <c r="E83">
        <v>9955</v>
      </c>
      <c r="F83">
        <v>9</v>
      </c>
      <c r="G83">
        <v>46</v>
      </c>
      <c r="H83" t="s">
        <v>11</v>
      </c>
    </row>
    <row r="84" spans="1:8" x14ac:dyDescent="0.3">
      <c r="A84" s="2">
        <v>45599</v>
      </c>
      <c r="B84" t="s">
        <v>9</v>
      </c>
      <c r="C84">
        <v>98</v>
      </c>
      <c r="D84">
        <v>110</v>
      </c>
      <c r="E84">
        <v>10780</v>
      </c>
      <c r="F84">
        <v>29</v>
      </c>
      <c r="G84">
        <v>69</v>
      </c>
      <c r="H84" t="s">
        <v>11</v>
      </c>
    </row>
    <row r="85" spans="1:8" x14ac:dyDescent="0.3">
      <c r="A85" s="2">
        <v>45601</v>
      </c>
      <c r="B85" t="s">
        <v>10</v>
      </c>
      <c r="C85">
        <v>94</v>
      </c>
      <c r="D85">
        <v>277</v>
      </c>
      <c r="E85">
        <v>26038</v>
      </c>
      <c r="F85">
        <v>3</v>
      </c>
      <c r="G85">
        <v>91</v>
      </c>
      <c r="H85" t="s">
        <v>11</v>
      </c>
    </row>
    <row r="86" spans="1:8" x14ac:dyDescent="0.3">
      <c r="A86" s="2">
        <v>45601</v>
      </c>
      <c r="B86" t="s">
        <v>7</v>
      </c>
      <c r="C86">
        <v>78</v>
      </c>
      <c r="D86">
        <v>231</v>
      </c>
      <c r="E86">
        <v>18018</v>
      </c>
      <c r="F86">
        <v>39</v>
      </c>
      <c r="G86">
        <v>39</v>
      </c>
      <c r="H86" t="s">
        <v>11</v>
      </c>
    </row>
    <row r="87" spans="1:8" x14ac:dyDescent="0.3">
      <c r="A87" s="2">
        <v>45601</v>
      </c>
      <c r="B87" t="s">
        <v>8</v>
      </c>
      <c r="C87">
        <v>49</v>
      </c>
      <c r="D87">
        <v>250</v>
      </c>
      <c r="E87">
        <v>12250</v>
      </c>
      <c r="F87">
        <v>9</v>
      </c>
      <c r="G87">
        <v>40</v>
      </c>
      <c r="H87" t="s">
        <v>11</v>
      </c>
    </row>
    <row r="88" spans="1:8" x14ac:dyDescent="0.3">
      <c r="A88" s="2">
        <v>45602</v>
      </c>
      <c r="B88" t="s">
        <v>8</v>
      </c>
      <c r="C88">
        <v>17</v>
      </c>
      <c r="D88">
        <v>131</v>
      </c>
      <c r="E88">
        <v>2227</v>
      </c>
      <c r="F88">
        <v>1</v>
      </c>
      <c r="G88">
        <v>16</v>
      </c>
      <c r="H88" t="s">
        <v>11</v>
      </c>
    </row>
    <row r="89" spans="1:8" x14ac:dyDescent="0.3">
      <c r="A89" s="2">
        <v>45603</v>
      </c>
      <c r="B89" t="s">
        <v>8</v>
      </c>
      <c r="C89">
        <v>64</v>
      </c>
      <c r="D89">
        <v>261</v>
      </c>
      <c r="E89">
        <v>16704</v>
      </c>
      <c r="F89">
        <v>23</v>
      </c>
      <c r="G89">
        <v>41</v>
      </c>
      <c r="H89" t="s">
        <v>11</v>
      </c>
    </row>
    <row r="90" spans="1:8" x14ac:dyDescent="0.3">
      <c r="A90" s="2">
        <v>45604</v>
      </c>
      <c r="B90" t="s">
        <v>7</v>
      </c>
      <c r="C90">
        <v>48</v>
      </c>
      <c r="D90">
        <v>201</v>
      </c>
      <c r="E90">
        <v>9648</v>
      </c>
      <c r="F90">
        <v>16</v>
      </c>
      <c r="G90">
        <v>32</v>
      </c>
      <c r="H90" t="s">
        <v>11</v>
      </c>
    </row>
    <row r="91" spans="1:8" x14ac:dyDescent="0.3">
      <c r="A91" s="2">
        <v>45604</v>
      </c>
      <c r="B91" t="s">
        <v>9</v>
      </c>
      <c r="C91">
        <v>48</v>
      </c>
      <c r="D91">
        <v>214</v>
      </c>
      <c r="E91">
        <v>10272</v>
      </c>
      <c r="F91">
        <v>5</v>
      </c>
      <c r="G91">
        <v>43</v>
      </c>
      <c r="H91" t="s">
        <v>11</v>
      </c>
    </row>
    <row r="92" spans="1:8" x14ac:dyDescent="0.3">
      <c r="A92" s="2">
        <v>45605</v>
      </c>
      <c r="B92" t="s">
        <v>7</v>
      </c>
      <c r="C92">
        <v>35</v>
      </c>
      <c r="D92">
        <v>190</v>
      </c>
      <c r="E92">
        <v>6650</v>
      </c>
      <c r="F92">
        <v>5</v>
      </c>
      <c r="G92">
        <v>30</v>
      </c>
      <c r="H92" t="s">
        <v>11</v>
      </c>
    </row>
    <row r="93" spans="1:8" x14ac:dyDescent="0.3">
      <c r="A93" s="2">
        <v>45606</v>
      </c>
      <c r="B93" t="s">
        <v>10</v>
      </c>
      <c r="C93">
        <v>99</v>
      </c>
      <c r="D93">
        <v>210</v>
      </c>
      <c r="E93">
        <v>20790</v>
      </c>
      <c r="F93">
        <v>22</v>
      </c>
      <c r="G93">
        <v>77</v>
      </c>
      <c r="H93" t="s">
        <v>11</v>
      </c>
    </row>
    <row r="94" spans="1:8" x14ac:dyDescent="0.3">
      <c r="A94" s="2">
        <v>45606</v>
      </c>
      <c r="B94" t="s">
        <v>7</v>
      </c>
      <c r="C94">
        <v>94</v>
      </c>
      <c r="D94">
        <v>262</v>
      </c>
      <c r="E94">
        <v>24628</v>
      </c>
      <c r="F94">
        <v>31</v>
      </c>
      <c r="G94">
        <v>63</v>
      </c>
      <c r="H94" t="s">
        <v>11</v>
      </c>
    </row>
    <row r="95" spans="1:8" x14ac:dyDescent="0.3">
      <c r="A95" s="2">
        <v>45607</v>
      </c>
      <c r="B95" t="s">
        <v>9</v>
      </c>
      <c r="C95">
        <v>87</v>
      </c>
      <c r="D95">
        <v>215</v>
      </c>
      <c r="E95">
        <v>18705</v>
      </c>
      <c r="F95">
        <v>18</v>
      </c>
      <c r="G95">
        <v>69</v>
      </c>
      <c r="H95" t="s">
        <v>11</v>
      </c>
    </row>
    <row r="96" spans="1:8" x14ac:dyDescent="0.3">
      <c r="A96" s="2">
        <v>45607</v>
      </c>
      <c r="B96" t="s">
        <v>9</v>
      </c>
      <c r="C96">
        <v>76</v>
      </c>
      <c r="D96">
        <v>187</v>
      </c>
      <c r="E96">
        <v>14212</v>
      </c>
      <c r="F96">
        <v>21</v>
      </c>
      <c r="G96">
        <v>55</v>
      </c>
      <c r="H96" t="s">
        <v>11</v>
      </c>
    </row>
    <row r="97" spans="1:8" x14ac:dyDescent="0.3">
      <c r="A97" s="2">
        <v>45607</v>
      </c>
      <c r="B97" t="s">
        <v>9</v>
      </c>
      <c r="C97">
        <v>42</v>
      </c>
      <c r="D97">
        <v>216</v>
      </c>
      <c r="E97">
        <v>9072</v>
      </c>
      <c r="F97">
        <v>17</v>
      </c>
      <c r="G97">
        <v>25</v>
      </c>
      <c r="H97" t="s">
        <v>11</v>
      </c>
    </row>
    <row r="98" spans="1:8" x14ac:dyDescent="0.3">
      <c r="A98" s="2">
        <v>45608</v>
      </c>
      <c r="B98" t="s">
        <v>8</v>
      </c>
      <c r="C98">
        <v>67</v>
      </c>
      <c r="D98">
        <v>122</v>
      </c>
      <c r="E98">
        <v>8174</v>
      </c>
      <c r="F98">
        <v>1</v>
      </c>
      <c r="G98">
        <v>66</v>
      </c>
      <c r="H98" t="s">
        <v>11</v>
      </c>
    </row>
    <row r="99" spans="1:8" x14ac:dyDescent="0.3">
      <c r="A99" s="2">
        <v>45608</v>
      </c>
      <c r="B99" t="s">
        <v>9</v>
      </c>
      <c r="C99">
        <v>26</v>
      </c>
      <c r="D99">
        <v>180</v>
      </c>
      <c r="E99">
        <v>4680</v>
      </c>
      <c r="F99">
        <v>1</v>
      </c>
      <c r="G99">
        <v>25</v>
      </c>
      <c r="H99" t="s">
        <v>11</v>
      </c>
    </row>
    <row r="100" spans="1:8" x14ac:dyDescent="0.3">
      <c r="A100" s="2">
        <v>45610</v>
      </c>
      <c r="B100" t="s">
        <v>9</v>
      </c>
      <c r="C100">
        <v>12</v>
      </c>
      <c r="D100">
        <v>144</v>
      </c>
      <c r="E100">
        <v>1728</v>
      </c>
      <c r="F100">
        <v>2</v>
      </c>
      <c r="G100">
        <v>10</v>
      </c>
      <c r="H100" t="s">
        <v>11</v>
      </c>
    </row>
    <row r="101" spans="1:8" x14ac:dyDescent="0.3">
      <c r="A101" s="2">
        <v>45610</v>
      </c>
      <c r="B101" t="s">
        <v>7</v>
      </c>
      <c r="C101">
        <v>34</v>
      </c>
      <c r="D101">
        <v>257</v>
      </c>
      <c r="E101">
        <v>8738</v>
      </c>
      <c r="F101">
        <v>13</v>
      </c>
      <c r="G101">
        <v>21</v>
      </c>
      <c r="H101" t="s">
        <v>11</v>
      </c>
    </row>
    <row r="102" spans="1:8" x14ac:dyDescent="0.3">
      <c r="A102" s="2">
        <v>45612</v>
      </c>
      <c r="B102" t="s">
        <v>9</v>
      </c>
      <c r="C102">
        <v>12</v>
      </c>
      <c r="D102">
        <v>283</v>
      </c>
      <c r="E102">
        <v>3396</v>
      </c>
      <c r="F102">
        <v>4</v>
      </c>
      <c r="G102">
        <v>8</v>
      </c>
      <c r="H102" t="s">
        <v>11</v>
      </c>
    </row>
    <row r="103" spans="1:8" x14ac:dyDescent="0.3">
      <c r="A103" s="2">
        <v>45612</v>
      </c>
      <c r="B103" t="s">
        <v>9</v>
      </c>
      <c r="C103">
        <v>16</v>
      </c>
      <c r="D103">
        <v>217</v>
      </c>
      <c r="E103">
        <v>3472</v>
      </c>
      <c r="F103">
        <v>8</v>
      </c>
      <c r="G103">
        <v>8</v>
      </c>
      <c r="H103" t="s">
        <v>11</v>
      </c>
    </row>
    <row r="104" spans="1:8" x14ac:dyDescent="0.3">
      <c r="A104" s="2">
        <v>45612</v>
      </c>
      <c r="B104" t="s">
        <v>8</v>
      </c>
      <c r="C104">
        <v>23</v>
      </c>
      <c r="D104">
        <v>171</v>
      </c>
      <c r="E104">
        <v>3933</v>
      </c>
      <c r="F104">
        <v>10</v>
      </c>
      <c r="G104">
        <v>13</v>
      </c>
      <c r="H104" t="s">
        <v>11</v>
      </c>
    </row>
    <row r="105" spans="1:8" x14ac:dyDescent="0.3">
      <c r="A105" s="2">
        <v>45613</v>
      </c>
      <c r="B105" t="s">
        <v>9</v>
      </c>
      <c r="C105">
        <v>12</v>
      </c>
      <c r="D105">
        <v>180</v>
      </c>
      <c r="E105">
        <v>2160</v>
      </c>
      <c r="F105">
        <v>3</v>
      </c>
      <c r="G105">
        <v>9</v>
      </c>
      <c r="H105" t="s">
        <v>11</v>
      </c>
    </row>
    <row r="106" spans="1:8" x14ac:dyDescent="0.3">
      <c r="A106" s="2">
        <v>45613</v>
      </c>
      <c r="B106" t="s">
        <v>8</v>
      </c>
      <c r="C106">
        <v>84</v>
      </c>
      <c r="D106">
        <v>165</v>
      </c>
      <c r="E106">
        <v>13860</v>
      </c>
      <c r="F106">
        <v>22</v>
      </c>
      <c r="G106">
        <v>62</v>
      </c>
      <c r="H106" t="s">
        <v>11</v>
      </c>
    </row>
    <row r="107" spans="1:8" x14ac:dyDescent="0.3">
      <c r="A107" s="2">
        <v>45614</v>
      </c>
      <c r="B107" t="s">
        <v>8</v>
      </c>
      <c r="C107">
        <v>40</v>
      </c>
      <c r="D107">
        <v>255</v>
      </c>
      <c r="E107">
        <v>10200</v>
      </c>
      <c r="F107">
        <v>13</v>
      </c>
      <c r="G107">
        <v>27</v>
      </c>
      <c r="H107" t="s">
        <v>11</v>
      </c>
    </row>
    <row r="108" spans="1:8" x14ac:dyDescent="0.3">
      <c r="A108" s="2">
        <v>45614</v>
      </c>
      <c r="B108" t="s">
        <v>9</v>
      </c>
      <c r="C108">
        <v>87</v>
      </c>
      <c r="D108">
        <v>108</v>
      </c>
      <c r="E108">
        <v>9396</v>
      </c>
      <c r="F108">
        <v>8</v>
      </c>
      <c r="G108">
        <v>79</v>
      </c>
      <c r="H108" t="s">
        <v>11</v>
      </c>
    </row>
    <row r="109" spans="1:8" x14ac:dyDescent="0.3">
      <c r="A109" s="2">
        <v>45615</v>
      </c>
      <c r="B109" t="s">
        <v>8</v>
      </c>
      <c r="C109">
        <v>66</v>
      </c>
      <c r="D109">
        <v>122</v>
      </c>
      <c r="E109">
        <v>8052</v>
      </c>
      <c r="F109">
        <v>21</v>
      </c>
      <c r="G109">
        <v>45</v>
      </c>
      <c r="H109" t="s">
        <v>11</v>
      </c>
    </row>
    <row r="110" spans="1:8" x14ac:dyDescent="0.3">
      <c r="A110" s="2">
        <v>45615</v>
      </c>
      <c r="B110" t="s">
        <v>10</v>
      </c>
      <c r="C110">
        <v>43</v>
      </c>
      <c r="D110">
        <v>211</v>
      </c>
      <c r="E110">
        <v>9073</v>
      </c>
      <c r="F110">
        <v>4</v>
      </c>
      <c r="G110">
        <v>39</v>
      </c>
      <c r="H110" t="s">
        <v>11</v>
      </c>
    </row>
    <row r="111" spans="1:8" x14ac:dyDescent="0.3">
      <c r="A111" s="2">
        <v>45616</v>
      </c>
      <c r="B111" t="s">
        <v>9</v>
      </c>
      <c r="C111">
        <v>57</v>
      </c>
      <c r="D111">
        <v>169</v>
      </c>
      <c r="E111">
        <v>9633</v>
      </c>
      <c r="F111">
        <v>17</v>
      </c>
      <c r="G111">
        <v>40</v>
      </c>
      <c r="H111" t="s">
        <v>11</v>
      </c>
    </row>
    <row r="112" spans="1:8" x14ac:dyDescent="0.3">
      <c r="A112" s="2">
        <v>45616</v>
      </c>
      <c r="B112" t="s">
        <v>9</v>
      </c>
      <c r="C112">
        <v>90</v>
      </c>
      <c r="D112">
        <v>177</v>
      </c>
      <c r="E112">
        <v>15930</v>
      </c>
      <c r="F112">
        <v>1</v>
      </c>
      <c r="G112">
        <v>89</v>
      </c>
      <c r="H112" t="s">
        <v>11</v>
      </c>
    </row>
    <row r="113" spans="1:8" x14ac:dyDescent="0.3">
      <c r="A113" s="2">
        <v>45616</v>
      </c>
      <c r="B113" t="s">
        <v>9</v>
      </c>
      <c r="C113">
        <v>26</v>
      </c>
      <c r="D113">
        <v>282</v>
      </c>
      <c r="E113">
        <v>7332</v>
      </c>
      <c r="F113">
        <v>5</v>
      </c>
      <c r="G113">
        <v>21</v>
      </c>
      <c r="H113" t="s">
        <v>11</v>
      </c>
    </row>
    <row r="114" spans="1:8" x14ac:dyDescent="0.3">
      <c r="A114" s="2">
        <v>45616</v>
      </c>
      <c r="B114" t="s">
        <v>8</v>
      </c>
      <c r="C114">
        <v>97</v>
      </c>
      <c r="D114">
        <v>260</v>
      </c>
      <c r="E114">
        <v>25220</v>
      </c>
      <c r="F114">
        <v>26</v>
      </c>
      <c r="G114">
        <v>71</v>
      </c>
      <c r="H114" t="s">
        <v>11</v>
      </c>
    </row>
    <row r="115" spans="1:8" x14ac:dyDescent="0.3">
      <c r="A115" s="2">
        <v>45616</v>
      </c>
      <c r="B115" t="s">
        <v>10</v>
      </c>
      <c r="C115">
        <v>62</v>
      </c>
      <c r="D115">
        <v>228</v>
      </c>
      <c r="E115">
        <v>14136</v>
      </c>
      <c r="F115">
        <v>1</v>
      </c>
      <c r="G115">
        <v>61</v>
      </c>
      <c r="H115" t="s">
        <v>11</v>
      </c>
    </row>
    <row r="116" spans="1:8" x14ac:dyDescent="0.3">
      <c r="A116" s="2">
        <v>45617</v>
      </c>
      <c r="B116" t="s">
        <v>8</v>
      </c>
      <c r="C116">
        <v>33</v>
      </c>
      <c r="D116">
        <v>214</v>
      </c>
      <c r="E116">
        <v>7062</v>
      </c>
      <c r="F116">
        <v>11</v>
      </c>
      <c r="G116">
        <v>22</v>
      </c>
      <c r="H116" t="s">
        <v>11</v>
      </c>
    </row>
    <row r="117" spans="1:8" x14ac:dyDescent="0.3">
      <c r="A117" s="2">
        <v>45618</v>
      </c>
      <c r="B117" t="s">
        <v>9</v>
      </c>
      <c r="C117">
        <v>25</v>
      </c>
      <c r="D117">
        <v>150</v>
      </c>
      <c r="E117">
        <v>3750</v>
      </c>
      <c r="F117">
        <v>8</v>
      </c>
      <c r="G117">
        <v>17</v>
      </c>
      <c r="H117" t="s">
        <v>11</v>
      </c>
    </row>
    <row r="118" spans="1:8" x14ac:dyDescent="0.3">
      <c r="A118" s="2">
        <v>45619</v>
      </c>
      <c r="B118" t="s">
        <v>7</v>
      </c>
      <c r="C118">
        <v>96</v>
      </c>
      <c r="D118">
        <v>203</v>
      </c>
      <c r="E118">
        <v>19488</v>
      </c>
      <c r="F118">
        <v>5</v>
      </c>
      <c r="G118">
        <v>91</v>
      </c>
      <c r="H118" t="s">
        <v>11</v>
      </c>
    </row>
    <row r="119" spans="1:8" x14ac:dyDescent="0.3">
      <c r="A119" s="2">
        <v>45619</v>
      </c>
      <c r="B119" t="s">
        <v>9</v>
      </c>
      <c r="C119">
        <v>71</v>
      </c>
      <c r="D119">
        <v>134</v>
      </c>
      <c r="E119">
        <v>9514</v>
      </c>
      <c r="F119">
        <v>3</v>
      </c>
      <c r="G119">
        <v>68</v>
      </c>
      <c r="H119" t="s">
        <v>11</v>
      </c>
    </row>
    <row r="120" spans="1:8" x14ac:dyDescent="0.3">
      <c r="A120" s="2">
        <v>45619</v>
      </c>
      <c r="B120" t="s">
        <v>8</v>
      </c>
      <c r="C120">
        <v>98</v>
      </c>
      <c r="D120">
        <v>150</v>
      </c>
      <c r="E120">
        <v>14700</v>
      </c>
      <c r="F120">
        <v>2</v>
      </c>
      <c r="G120">
        <v>96</v>
      </c>
      <c r="H120" t="s">
        <v>11</v>
      </c>
    </row>
    <row r="121" spans="1:8" x14ac:dyDescent="0.3">
      <c r="A121" s="2">
        <v>45619</v>
      </c>
      <c r="B121" t="s">
        <v>8</v>
      </c>
      <c r="C121">
        <v>27</v>
      </c>
      <c r="D121">
        <v>188</v>
      </c>
      <c r="E121">
        <v>5076</v>
      </c>
      <c r="F121">
        <v>2</v>
      </c>
      <c r="G121">
        <v>25</v>
      </c>
      <c r="H121" t="s">
        <v>11</v>
      </c>
    </row>
    <row r="122" spans="1:8" x14ac:dyDescent="0.3">
      <c r="A122" s="2">
        <v>45620</v>
      </c>
      <c r="B122" t="s">
        <v>9</v>
      </c>
      <c r="C122">
        <v>75</v>
      </c>
      <c r="D122">
        <v>160</v>
      </c>
      <c r="E122">
        <v>12000</v>
      </c>
      <c r="F122">
        <v>11</v>
      </c>
      <c r="G122">
        <v>64</v>
      </c>
      <c r="H122" t="s">
        <v>11</v>
      </c>
    </row>
    <row r="123" spans="1:8" x14ac:dyDescent="0.3">
      <c r="A123" s="2">
        <v>45621</v>
      </c>
      <c r="B123" t="s">
        <v>8</v>
      </c>
      <c r="C123">
        <v>29</v>
      </c>
      <c r="D123">
        <v>217</v>
      </c>
      <c r="E123">
        <v>6293</v>
      </c>
      <c r="F123">
        <v>4</v>
      </c>
      <c r="G123">
        <v>25</v>
      </c>
      <c r="H123" t="s">
        <v>11</v>
      </c>
    </row>
    <row r="124" spans="1:8" x14ac:dyDescent="0.3">
      <c r="A124" s="2">
        <v>45621</v>
      </c>
      <c r="B124" t="s">
        <v>9</v>
      </c>
      <c r="C124">
        <v>27</v>
      </c>
      <c r="D124">
        <v>235</v>
      </c>
      <c r="E124">
        <v>6345</v>
      </c>
      <c r="F124">
        <v>13</v>
      </c>
      <c r="G124">
        <v>14</v>
      </c>
      <c r="H124" t="s">
        <v>11</v>
      </c>
    </row>
    <row r="125" spans="1:8" x14ac:dyDescent="0.3">
      <c r="A125" s="2">
        <v>45622</v>
      </c>
      <c r="B125" t="s">
        <v>8</v>
      </c>
      <c r="C125">
        <v>31</v>
      </c>
      <c r="D125">
        <v>222</v>
      </c>
      <c r="E125">
        <v>6882</v>
      </c>
      <c r="F125">
        <v>9</v>
      </c>
      <c r="G125">
        <v>22</v>
      </c>
      <c r="H125" t="s">
        <v>11</v>
      </c>
    </row>
    <row r="126" spans="1:8" x14ac:dyDescent="0.3">
      <c r="A126" s="2">
        <v>45622</v>
      </c>
      <c r="B126" t="s">
        <v>10</v>
      </c>
      <c r="C126">
        <v>45</v>
      </c>
      <c r="D126">
        <v>152</v>
      </c>
      <c r="E126">
        <v>6840</v>
      </c>
      <c r="F126">
        <v>14</v>
      </c>
      <c r="G126">
        <v>31</v>
      </c>
      <c r="H126" t="s">
        <v>11</v>
      </c>
    </row>
    <row r="127" spans="1:8" x14ac:dyDescent="0.3">
      <c r="A127" s="2">
        <v>45622</v>
      </c>
      <c r="B127" t="s">
        <v>7</v>
      </c>
      <c r="C127">
        <v>67</v>
      </c>
      <c r="D127">
        <v>194</v>
      </c>
      <c r="E127">
        <v>12998</v>
      </c>
      <c r="F127">
        <v>19</v>
      </c>
      <c r="G127">
        <v>48</v>
      </c>
      <c r="H127" t="s">
        <v>11</v>
      </c>
    </row>
    <row r="128" spans="1:8" x14ac:dyDescent="0.3">
      <c r="A128" s="2">
        <v>45623</v>
      </c>
      <c r="B128" t="s">
        <v>7</v>
      </c>
      <c r="C128">
        <v>65</v>
      </c>
      <c r="D128">
        <v>199</v>
      </c>
      <c r="E128">
        <v>12935</v>
      </c>
      <c r="F128">
        <v>3</v>
      </c>
      <c r="G128">
        <v>62</v>
      </c>
      <c r="H128" t="s">
        <v>11</v>
      </c>
    </row>
    <row r="129" spans="1:8" x14ac:dyDescent="0.3">
      <c r="A129" s="2">
        <v>45623</v>
      </c>
      <c r="B129" t="s">
        <v>7</v>
      </c>
      <c r="C129">
        <v>51</v>
      </c>
      <c r="D129">
        <v>259</v>
      </c>
      <c r="E129">
        <v>13209</v>
      </c>
      <c r="F129">
        <v>15</v>
      </c>
      <c r="G129">
        <v>36</v>
      </c>
      <c r="H129" t="s">
        <v>11</v>
      </c>
    </row>
    <row r="130" spans="1:8" x14ac:dyDescent="0.3">
      <c r="A130" s="2">
        <v>45624</v>
      </c>
      <c r="B130" t="s">
        <v>10</v>
      </c>
      <c r="C130">
        <v>57</v>
      </c>
      <c r="D130">
        <v>191</v>
      </c>
      <c r="E130">
        <v>10887</v>
      </c>
      <c r="F130">
        <v>17</v>
      </c>
      <c r="G130">
        <v>40</v>
      </c>
      <c r="H130" t="s">
        <v>11</v>
      </c>
    </row>
    <row r="131" spans="1:8" x14ac:dyDescent="0.3">
      <c r="A131" s="2">
        <v>45624</v>
      </c>
      <c r="B131" t="s">
        <v>8</v>
      </c>
      <c r="C131">
        <v>77</v>
      </c>
      <c r="D131">
        <v>262</v>
      </c>
      <c r="E131">
        <v>20174</v>
      </c>
      <c r="F131">
        <v>12</v>
      </c>
      <c r="G131">
        <v>65</v>
      </c>
      <c r="H131" t="s">
        <v>11</v>
      </c>
    </row>
    <row r="132" spans="1:8" x14ac:dyDescent="0.3">
      <c r="A132" s="2">
        <v>45625</v>
      </c>
      <c r="B132" t="s">
        <v>10</v>
      </c>
      <c r="C132">
        <v>11</v>
      </c>
      <c r="D132">
        <v>111</v>
      </c>
      <c r="E132">
        <v>1221</v>
      </c>
      <c r="F132">
        <v>1</v>
      </c>
      <c r="G132">
        <v>10</v>
      </c>
      <c r="H132" t="s">
        <v>11</v>
      </c>
    </row>
    <row r="133" spans="1:8" x14ac:dyDescent="0.3">
      <c r="A133" s="2">
        <v>45625</v>
      </c>
      <c r="B133" t="s">
        <v>8</v>
      </c>
      <c r="C133">
        <v>82</v>
      </c>
      <c r="D133">
        <v>138</v>
      </c>
      <c r="E133">
        <v>11316</v>
      </c>
      <c r="F133">
        <v>26</v>
      </c>
      <c r="G133">
        <v>56</v>
      </c>
      <c r="H133" t="s">
        <v>11</v>
      </c>
    </row>
    <row r="134" spans="1:8" x14ac:dyDescent="0.3">
      <c r="A134" s="2">
        <v>45625</v>
      </c>
      <c r="B134" t="s">
        <v>8</v>
      </c>
      <c r="C134">
        <v>32</v>
      </c>
      <c r="D134">
        <v>158</v>
      </c>
      <c r="E134">
        <v>5056</v>
      </c>
      <c r="F134">
        <v>8</v>
      </c>
      <c r="G134">
        <v>24</v>
      </c>
      <c r="H134" t="s">
        <v>11</v>
      </c>
    </row>
    <row r="135" spans="1:8" x14ac:dyDescent="0.3">
      <c r="A135" s="2">
        <v>45626</v>
      </c>
      <c r="B135" t="s">
        <v>8</v>
      </c>
      <c r="C135">
        <v>95</v>
      </c>
      <c r="D135">
        <v>186</v>
      </c>
      <c r="E135">
        <v>17670</v>
      </c>
      <c r="F135">
        <v>14</v>
      </c>
      <c r="G135">
        <v>81</v>
      </c>
      <c r="H135" t="s">
        <v>11</v>
      </c>
    </row>
    <row r="136" spans="1:8" x14ac:dyDescent="0.3">
      <c r="A136" s="2">
        <v>45627</v>
      </c>
      <c r="B136" t="s">
        <v>9</v>
      </c>
      <c r="C136">
        <v>63</v>
      </c>
      <c r="D136">
        <v>280</v>
      </c>
      <c r="E136">
        <v>17640</v>
      </c>
      <c r="F136">
        <v>27</v>
      </c>
      <c r="G136">
        <v>36</v>
      </c>
      <c r="H136" t="s">
        <v>12</v>
      </c>
    </row>
    <row r="137" spans="1:8" x14ac:dyDescent="0.3">
      <c r="A137" s="2">
        <v>45627</v>
      </c>
      <c r="B137" t="s">
        <v>10</v>
      </c>
      <c r="C137">
        <v>76</v>
      </c>
      <c r="D137">
        <v>121</v>
      </c>
      <c r="E137">
        <v>9196</v>
      </c>
      <c r="F137">
        <v>26</v>
      </c>
      <c r="G137">
        <v>50</v>
      </c>
      <c r="H137" t="s">
        <v>12</v>
      </c>
    </row>
    <row r="138" spans="1:8" x14ac:dyDescent="0.3">
      <c r="A138" s="2">
        <v>45628</v>
      </c>
      <c r="B138" t="s">
        <v>7</v>
      </c>
      <c r="C138">
        <v>22</v>
      </c>
      <c r="D138">
        <v>237</v>
      </c>
      <c r="E138">
        <v>5214</v>
      </c>
      <c r="F138">
        <v>9</v>
      </c>
      <c r="G138">
        <v>13</v>
      </c>
      <c r="H138" t="s">
        <v>12</v>
      </c>
    </row>
    <row r="139" spans="1:8" x14ac:dyDescent="0.3">
      <c r="A139" s="2">
        <v>45628</v>
      </c>
      <c r="B139" t="s">
        <v>10</v>
      </c>
      <c r="C139">
        <v>79</v>
      </c>
      <c r="D139">
        <v>282</v>
      </c>
      <c r="E139">
        <v>22278</v>
      </c>
      <c r="F139">
        <v>16</v>
      </c>
      <c r="G139">
        <v>63</v>
      </c>
      <c r="H139" t="s">
        <v>12</v>
      </c>
    </row>
    <row r="140" spans="1:8" x14ac:dyDescent="0.3">
      <c r="A140" s="2">
        <v>45628</v>
      </c>
      <c r="B140" t="s">
        <v>8</v>
      </c>
      <c r="C140">
        <v>61</v>
      </c>
      <c r="D140">
        <v>188</v>
      </c>
      <c r="E140">
        <v>11468</v>
      </c>
      <c r="F140">
        <v>21</v>
      </c>
      <c r="G140">
        <v>40</v>
      </c>
      <c r="H140" t="s">
        <v>12</v>
      </c>
    </row>
    <row r="141" spans="1:8" x14ac:dyDescent="0.3">
      <c r="A141" s="2">
        <v>45629</v>
      </c>
      <c r="B141" t="s">
        <v>7</v>
      </c>
      <c r="C141">
        <v>42</v>
      </c>
      <c r="D141">
        <v>194</v>
      </c>
      <c r="E141">
        <v>8148</v>
      </c>
      <c r="F141">
        <v>12</v>
      </c>
      <c r="G141">
        <v>30</v>
      </c>
      <c r="H141" t="s">
        <v>12</v>
      </c>
    </row>
    <row r="142" spans="1:8" x14ac:dyDescent="0.3">
      <c r="A142" s="2">
        <v>45629</v>
      </c>
      <c r="B142" t="s">
        <v>10</v>
      </c>
      <c r="C142">
        <v>97</v>
      </c>
      <c r="D142">
        <v>231</v>
      </c>
      <c r="E142">
        <v>22407</v>
      </c>
      <c r="F142">
        <v>2</v>
      </c>
      <c r="G142">
        <v>95</v>
      </c>
      <c r="H142" t="s">
        <v>12</v>
      </c>
    </row>
    <row r="143" spans="1:8" x14ac:dyDescent="0.3">
      <c r="A143" s="2">
        <v>45629</v>
      </c>
      <c r="B143" t="s">
        <v>9</v>
      </c>
      <c r="C143">
        <v>27</v>
      </c>
      <c r="D143">
        <v>183</v>
      </c>
      <c r="E143">
        <v>4941</v>
      </c>
      <c r="F143">
        <v>11</v>
      </c>
      <c r="G143">
        <v>16</v>
      </c>
      <c r="H143" t="s">
        <v>12</v>
      </c>
    </row>
    <row r="144" spans="1:8" x14ac:dyDescent="0.3">
      <c r="A144" s="2">
        <v>45630</v>
      </c>
      <c r="B144" t="s">
        <v>7</v>
      </c>
      <c r="C144">
        <v>61</v>
      </c>
      <c r="D144">
        <v>221</v>
      </c>
      <c r="E144">
        <v>13481</v>
      </c>
      <c r="F144">
        <v>7</v>
      </c>
      <c r="G144">
        <v>54</v>
      </c>
      <c r="H144" t="s">
        <v>12</v>
      </c>
    </row>
    <row r="145" spans="1:8" x14ac:dyDescent="0.3">
      <c r="A145" s="2">
        <v>45630</v>
      </c>
      <c r="B145" t="s">
        <v>10</v>
      </c>
      <c r="C145">
        <v>86</v>
      </c>
      <c r="D145">
        <v>195</v>
      </c>
      <c r="E145">
        <v>16770</v>
      </c>
      <c r="F145">
        <v>7</v>
      </c>
      <c r="G145">
        <v>79</v>
      </c>
      <c r="H145" t="s">
        <v>12</v>
      </c>
    </row>
    <row r="146" spans="1:8" x14ac:dyDescent="0.3">
      <c r="A146" s="2">
        <v>45630</v>
      </c>
      <c r="B146" t="s">
        <v>8</v>
      </c>
      <c r="C146">
        <v>87</v>
      </c>
      <c r="D146">
        <v>201</v>
      </c>
      <c r="E146">
        <v>17487</v>
      </c>
      <c r="F146">
        <v>27</v>
      </c>
      <c r="G146">
        <v>60</v>
      </c>
      <c r="H146" t="s">
        <v>12</v>
      </c>
    </row>
    <row r="147" spans="1:8" x14ac:dyDescent="0.3">
      <c r="A147" s="2">
        <v>45631</v>
      </c>
      <c r="B147" t="s">
        <v>9</v>
      </c>
      <c r="C147">
        <v>74</v>
      </c>
      <c r="D147">
        <v>245</v>
      </c>
      <c r="E147">
        <v>18130</v>
      </c>
      <c r="F147">
        <v>5</v>
      </c>
      <c r="G147">
        <v>69</v>
      </c>
      <c r="H147" t="s">
        <v>12</v>
      </c>
    </row>
    <row r="148" spans="1:8" x14ac:dyDescent="0.3">
      <c r="A148" s="2">
        <v>45631</v>
      </c>
      <c r="B148" t="s">
        <v>7</v>
      </c>
      <c r="C148">
        <v>53</v>
      </c>
      <c r="D148">
        <v>216</v>
      </c>
      <c r="E148">
        <v>11448</v>
      </c>
      <c r="F148">
        <v>16</v>
      </c>
      <c r="G148">
        <v>37</v>
      </c>
      <c r="H148" t="s">
        <v>12</v>
      </c>
    </row>
    <row r="149" spans="1:8" x14ac:dyDescent="0.3">
      <c r="A149" s="2">
        <v>45632</v>
      </c>
      <c r="B149" t="s">
        <v>9</v>
      </c>
      <c r="C149">
        <v>61</v>
      </c>
      <c r="D149">
        <v>153</v>
      </c>
      <c r="E149">
        <v>9333</v>
      </c>
      <c r="F149">
        <v>21</v>
      </c>
      <c r="G149">
        <v>40</v>
      </c>
      <c r="H149" t="s">
        <v>12</v>
      </c>
    </row>
    <row r="150" spans="1:8" x14ac:dyDescent="0.3">
      <c r="A150" s="2">
        <v>45632</v>
      </c>
      <c r="B150" t="s">
        <v>7</v>
      </c>
      <c r="C150">
        <v>86</v>
      </c>
      <c r="D150">
        <v>109</v>
      </c>
      <c r="E150">
        <v>9374</v>
      </c>
      <c r="F150">
        <v>31</v>
      </c>
      <c r="G150">
        <v>55</v>
      </c>
      <c r="H150" t="s">
        <v>12</v>
      </c>
    </row>
    <row r="151" spans="1:8" x14ac:dyDescent="0.3">
      <c r="A151" s="2">
        <v>45633</v>
      </c>
      <c r="B151" t="s">
        <v>10</v>
      </c>
      <c r="C151">
        <v>33</v>
      </c>
      <c r="D151">
        <v>158</v>
      </c>
      <c r="E151">
        <v>5214</v>
      </c>
      <c r="F151">
        <v>13</v>
      </c>
      <c r="G151">
        <v>20</v>
      </c>
      <c r="H151" t="s">
        <v>12</v>
      </c>
    </row>
    <row r="152" spans="1:8" x14ac:dyDescent="0.3">
      <c r="A152" s="2">
        <v>45633</v>
      </c>
      <c r="B152" t="s">
        <v>7</v>
      </c>
      <c r="C152">
        <v>89</v>
      </c>
      <c r="D152">
        <v>284</v>
      </c>
      <c r="E152">
        <v>25276</v>
      </c>
      <c r="F152">
        <v>30</v>
      </c>
      <c r="G152">
        <v>59</v>
      </c>
      <c r="H152" t="s">
        <v>12</v>
      </c>
    </row>
    <row r="153" spans="1:8" x14ac:dyDescent="0.3">
      <c r="A153" s="2">
        <v>45633</v>
      </c>
      <c r="B153" t="s">
        <v>9</v>
      </c>
      <c r="C153">
        <v>23</v>
      </c>
      <c r="D153">
        <v>288</v>
      </c>
      <c r="E153">
        <v>6624</v>
      </c>
      <c r="F153">
        <v>1</v>
      </c>
      <c r="G153">
        <v>22</v>
      </c>
      <c r="H153" t="s">
        <v>12</v>
      </c>
    </row>
    <row r="154" spans="1:8" x14ac:dyDescent="0.3">
      <c r="A154" s="2">
        <v>45633</v>
      </c>
      <c r="B154" t="s">
        <v>9</v>
      </c>
      <c r="C154">
        <v>46</v>
      </c>
      <c r="D154">
        <v>173</v>
      </c>
      <c r="E154">
        <v>7958</v>
      </c>
      <c r="F154">
        <v>23</v>
      </c>
      <c r="G154">
        <v>23</v>
      </c>
      <c r="H154" t="s">
        <v>12</v>
      </c>
    </row>
    <row r="155" spans="1:8" x14ac:dyDescent="0.3">
      <c r="A155" s="2">
        <v>45634</v>
      </c>
      <c r="B155" t="s">
        <v>8</v>
      </c>
      <c r="C155">
        <v>56</v>
      </c>
      <c r="D155">
        <v>276</v>
      </c>
      <c r="E155">
        <v>15456</v>
      </c>
      <c r="F155">
        <v>24</v>
      </c>
      <c r="G155">
        <v>32</v>
      </c>
      <c r="H155" t="s">
        <v>12</v>
      </c>
    </row>
    <row r="156" spans="1:8" x14ac:dyDescent="0.3">
      <c r="A156" s="2">
        <v>45634</v>
      </c>
      <c r="B156" t="s">
        <v>10</v>
      </c>
      <c r="C156">
        <v>18</v>
      </c>
      <c r="D156">
        <v>132</v>
      </c>
      <c r="E156">
        <v>2376</v>
      </c>
      <c r="F156">
        <v>8</v>
      </c>
      <c r="G156">
        <v>10</v>
      </c>
      <c r="H156" t="s">
        <v>12</v>
      </c>
    </row>
    <row r="157" spans="1:8" x14ac:dyDescent="0.3">
      <c r="A157" s="2">
        <v>45634</v>
      </c>
      <c r="B157" t="s">
        <v>10</v>
      </c>
      <c r="C157">
        <v>73</v>
      </c>
      <c r="D157">
        <v>225</v>
      </c>
      <c r="E157">
        <v>16425</v>
      </c>
      <c r="F157">
        <v>17</v>
      </c>
      <c r="G157">
        <v>56</v>
      </c>
      <c r="H157" t="s">
        <v>12</v>
      </c>
    </row>
    <row r="158" spans="1:8" x14ac:dyDescent="0.3">
      <c r="A158" s="2">
        <v>45635</v>
      </c>
      <c r="B158" t="s">
        <v>7</v>
      </c>
      <c r="C158">
        <v>31</v>
      </c>
      <c r="D158">
        <v>179</v>
      </c>
      <c r="E158">
        <v>5549</v>
      </c>
      <c r="F158">
        <v>7</v>
      </c>
      <c r="G158">
        <v>24</v>
      </c>
      <c r="H158" t="s">
        <v>12</v>
      </c>
    </row>
    <row r="159" spans="1:8" x14ac:dyDescent="0.3">
      <c r="A159" s="2">
        <v>45635</v>
      </c>
      <c r="B159" t="s">
        <v>10</v>
      </c>
      <c r="C159">
        <v>99</v>
      </c>
      <c r="D159">
        <v>164</v>
      </c>
      <c r="E159">
        <v>16236</v>
      </c>
      <c r="F159">
        <v>37</v>
      </c>
      <c r="G159">
        <v>62</v>
      </c>
      <c r="H159" t="s">
        <v>12</v>
      </c>
    </row>
    <row r="160" spans="1:8" x14ac:dyDescent="0.3">
      <c r="A160" s="2">
        <v>45635</v>
      </c>
      <c r="B160" t="s">
        <v>7</v>
      </c>
      <c r="C160">
        <v>73</v>
      </c>
      <c r="D160">
        <v>228</v>
      </c>
      <c r="E160">
        <v>16644</v>
      </c>
      <c r="F160">
        <v>26</v>
      </c>
      <c r="G160">
        <v>47</v>
      </c>
      <c r="H160" t="s">
        <v>12</v>
      </c>
    </row>
    <row r="161" spans="1:8" x14ac:dyDescent="0.3">
      <c r="A161" s="2">
        <v>45636</v>
      </c>
      <c r="B161" t="s">
        <v>8</v>
      </c>
      <c r="C161">
        <v>61</v>
      </c>
      <c r="D161">
        <v>254</v>
      </c>
      <c r="E161">
        <v>15494</v>
      </c>
      <c r="F161">
        <v>15</v>
      </c>
      <c r="G161">
        <v>46</v>
      </c>
      <c r="H161" t="s">
        <v>12</v>
      </c>
    </row>
    <row r="162" spans="1:8" x14ac:dyDescent="0.3">
      <c r="A162" s="2">
        <v>45636</v>
      </c>
      <c r="B162" t="s">
        <v>9</v>
      </c>
      <c r="C162">
        <v>29</v>
      </c>
      <c r="D162">
        <v>102</v>
      </c>
      <c r="E162">
        <v>2958</v>
      </c>
      <c r="F162">
        <v>5</v>
      </c>
      <c r="G162">
        <v>24</v>
      </c>
      <c r="H162" t="s">
        <v>12</v>
      </c>
    </row>
    <row r="163" spans="1:8" x14ac:dyDescent="0.3">
      <c r="A163" s="2">
        <v>45637</v>
      </c>
      <c r="B163" t="s">
        <v>7</v>
      </c>
      <c r="C163">
        <v>90</v>
      </c>
      <c r="D163">
        <v>109</v>
      </c>
      <c r="E163">
        <v>9810</v>
      </c>
      <c r="F163">
        <v>30</v>
      </c>
      <c r="G163">
        <v>60</v>
      </c>
      <c r="H163" t="s">
        <v>12</v>
      </c>
    </row>
    <row r="164" spans="1:8" x14ac:dyDescent="0.3">
      <c r="A164" s="2">
        <v>45637</v>
      </c>
      <c r="B164" t="s">
        <v>10</v>
      </c>
      <c r="C164">
        <v>32</v>
      </c>
      <c r="D164">
        <v>169</v>
      </c>
      <c r="E164">
        <v>5408</v>
      </c>
      <c r="F164">
        <v>10</v>
      </c>
      <c r="G164">
        <v>22</v>
      </c>
      <c r="H164" t="s">
        <v>12</v>
      </c>
    </row>
    <row r="165" spans="1:8" x14ac:dyDescent="0.3">
      <c r="A165" s="2">
        <v>45637</v>
      </c>
      <c r="B165" t="s">
        <v>9</v>
      </c>
      <c r="C165">
        <v>56</v>
      </c>
      <c r="D165">
        <v>224</v>
      </c>
      <c r="E165">
        <v>12544</v>
      </c>
      <c r="F165">
        <v>26</v>
      </c>
      <c r="G165">
        <v>30</v>
      </c>
      <c r="H165" t="s">
        <v>12</v>
      </c>
    </row>
    <row r="166" spans="1:8" x14ac:dyDescent="0.3">
      <c r="A166" s="2">
        <v>45638</v>
      </c>
      <c r="B166" t="s">
        <v>10</v>
      </c>
      <c r="C166">
        <v>16</v>
      </c>
      <c r="D166">
        <v>114</v>
      </c>
      <c r="E166">
        <v>1824</v>
      </c>
      <c r="F166">
        <v>1</v>
      </c>
      <c r="G166">
        <v>15</v>
      </c>
      <c r="H166" t="s">
        <v>12</v>
      </c>
    </row>
    <row r="167" spans="1:8" x14ac:dyDescent="0.3">
      <c r="A167" s="2">
        <v>45638</v>
      </c>
      <c r="B167" t="s">
        <v>9</v>
      </c>
      <c r="C167">
        <v>86</v>
      </c>
      <c r="D167">
        <v>290</v>
      </c>
      <c r="E167">
        <v>24940</v>
      </c>
      <c r="F167">
        <v>1</v>
      </c>
      <c r="G167">
        <v>85</v>
      </c>
      <c r="H167" t="s">
        <v>12</v>
      </c>
    </row>
    <row r="168" spans="1:8" x14ac:dyDescent="0.3">
      <c r="A168" s="2">
        <v>45639</v>
      </c>
      <c r="B168" t="s">
        <v>9</v>
      </c>
      <c r="C168">
        <v>47</v>
      </c>
      <c r="D168">
        <v>253</v>
      </c>
      <c r="E168">
        <v>11891</v>
      </c>
      <c r="F168">
        <v>15</v>
      </c>
      <c r="G168">
        <v>32</v>
      </c>
      <c r="H168" t="s">
        <v>12</v>
      </c>
    </row>
    <row r="169" spans="1:8" x14ac:dyDescent="0.3">
      <c r="A169" s="2">
        <v>45639</v>
      </c>
      <c r="B169" t="s">
        <v>7</v>
      </c>
      <c r="C169">
        <v>11</v>
      </c>
      <c r="D169">
        <v>131</v>
      </c>
      <c r="E169">
        <v>1441</v>
      </c>
      <c r="F169">
        <v>4</v>
      </c>
      <c r="G169">
        <v>7</v>
      </c>
      <c r="H169" t="s">
        <v>12</v>
      </c>
    </row>
    <row r="170" spans="1:8" x14ac:dyDescent="0.3">
      <c r="A170" s="2">
        <v>45639</v>
      </c>
      <c r="B170" t="s">
        <v>9</v>
      </c>
      <c r="C170">
        <v>32</v>
      </c>
      <c r="D170">
        <v>121</v>
      </c>
      <c r="E170">
        <v>3872</v>
      </c>
      <c r="F170">
        <v>16</v>
      </c>
      <c r="G170">
        <v>16</v>
      </c>
      <c r="H170" t="s">
        <v>12</v>
      </c>
    </row>
    <row r="171" spans="1:8" x14ac:dyDescent="0.3">
      <c r="A171" s="2">
        <v>45640</v>
      </c>
      <c r="B171" t="s">
        <v>8</v>
      </c>
      <c r="C171">
        <v>23</v>
      </c>
      <c r="D171">
        <v>210</v>
      </c>
      <c r="E171">
        <v>4830</v>
      </c>
      <c r="F171">
        <v>8</v>
      </c>
      <c r="G171">
        <v>15</v>
      </c>
      <c r="H171" t="s">
        <v>12</v>
      </c>
    </row>
    <row r="172" spans="1:8" x14ac:dyDescent="0.3">
      <c r="A172" s="2">
        <v>45640</v>
      </c>
      <c r="B172" t="s">
        <v>7</v>
      </c>
      <c r="C172">
        <v>97</v>
      </c>
      <c r="D172">
        <v>252</v>
      </c>
      <c r="E172">
        <v>24444</v>
      </c>
      <c r="F172">
        <v>12</v>
      </c>
      <c r="G172">
        <v>85</v>
      </c>
      <c r="H172" t="s">
        <v>12</v>
      </c>
    </row>
    <row r="173" spans="1:8" x14ac:dyDescent="0.3">
      <c r="A173" s="2">
        <v>45640</v>
      </c>
      <c r="B173" t="s">
        <v>8</v>
      </c>
      <c r="C173">
        <v>81</v>
      </c>
      <c r="D173">
        <v>300</v>
      </c>
      <c r="E173">
        <v>24300</v>
      </c>
      <c r="F173">
        <v>19</v>
      </c>
      <c r="G173">
        <v>62</v>
      </c>
      <c r="H173" t="s">
        <v>12</v>
      </c>
    </row>
    <row r="174" spans="1:8" x14ac:dyDescent="0.3">
      <c r="A174" s="2">
        <v>45642</v>
      </c>
      <c r="B174" t="s">
        <v>9</v>
      </c>
      <c r="C174">
        <v>11</v>
      </c>
      <c r="D174">
        <v>228</v>
      </c>
      <c r="E174">
        <v>2508</v>
      </c>
      <c r="F174">
        <v>4</v>
      </c>
      <c r="G174">
        <v>7</v>
      </c>
      <c r="H174" t="s">
        <v>12</v>
      </c>
    </row>
    <row r="175" spans="1:8" x14ac:dyDescent="0.3">
      <c r="A175" s="2">
        <v>45642</v>
      </c>
      <c r="B175" t="s">
        <v>9</v>
      </c>
      <c r="C175">
        <v>95</v>
      </c>
      <c r="D175">
        <v>262</v>
      </c>
      <c r="E175">
        <v>24890</v>
      </c>
      <c r="F175">
        <v>18</v>
      </c>
      <c r="G175">
        <v>77</v>
      </c>
      <c r="H175" t="s">
        <v>12</v>
      </c>
    </row>
    <row r="176" spans="1:8" x14ac:dyDescent="0.3">
      <c r="A176" s="2">
        <v>45643</v>
      </c>
      <c r="B176" t="s">
        <v>10</v>
      </c>
      <c r="C176">
        <v>88</v>
      </c>
      <c r="D176">
        <v>264</v>
      </c>
      <c r="E176">
        <v>23232</v>
      </c>
      <c r="F176">
        <v>20</v>
      </c>
      <c r="G176">
        <v>68</v>
      </c>
      <c r="H176" t="s">
        <v>12</v>
      </c>
    </row>
    <row r="177" spans="1:8" x14ac:dyDescent="0.3">
      <c r="A177" s="2">
        <v>45644</v>
      </c>
      <c r="B177" t="s">
        <v>7</v>
      </c>
      <c r="C177">
        <v>14</v>
      </c>
      <c r="D177">
        <v>143</v>
      </c>
      <c r="E177">
        <v>2002</v>
      </c>
      <c r="F177">
        <v>6</v>
      </c>
      <c r="G177">
        <v>8</v>
      </c>
      <c r="H177" t="s">
        <v>12</v>
      </c>
    </row>
    <row r="178" spans="1:8" x14ac:dyDescent="0.3">
      <c r="A178" s="2">
        <v>45644</v>
      </c>
      <c r="B178" t="s">
        <v>9</v>
      </c>
      <c r="C178">
        <v>13</v>
      </c>
      <c r="D178">
        <v>166</v>
      </c>
      <c r="E178">
        <v>2158</v>
      </c>
      <c r="F178">
        <v>4</v>
      </c>
      <c r="G178">
        <v>9</v>
      </c>
      <c r="H178" t="s">
        <v>12</v>
      </c>
    </row>
    <row r="179" spans="1:8" x14ac:dyDescent="0.3">
      <c r="A179" s="2">
        <v>45645</v>
      </c>
      <c r="B179" t="s">
        <v>8</v>
      </c>
      <c r="C179">
        <v>51</v>
      </c>
      <c r="D179">
        <v>225</v>
      </c>
      <c r="E179">
        <v>11475</v>
      </c>
      <c r="F179">
        <v>25</v>
      </c>
      <c r="G179">
        <v>26</v>
      </c>
      <c r="H179" t="s">
        <v>12</v>
      </c>
    </row>
    <row r="180" spans="1:8" x14ac:dyDescent="0.3">
      <c r="A180" s="2">
        <v>45645</v>
      </c>
      <c r="B180" t="s">
        <v>9</v>
      </c>
      <c r="C180">
        <v>30</v>
      </c>
      <c r="D180">
        <v>116</v>
      </c>
      <c r="E180">
        <v>3480</v>
      </c>
      <c r="F180">
        <v>12</v>
      </c>
      <c r="G180">
        <v>18</v>
      </c>
      <c r="H180" t="s">
        <v>12</v>
      </c>
    </row>
    <row r="181" spans="1:8" x14ac:dyDescent="0.3">
      <c r="A181" s="2">
        <v>45645</v>
      </c>
      <c r="B181" t="s">
        <v>8</v>
      </c>
      <c r="C181">
        <v>99</v>
      </c>
      <c r="D181">
        <v>151</v>
      </c>
      <c r="E181">
        <v>14949</v>
      </c>
      <c r="F181">
        <v>3</v>
      </c>
      <c r="G181">
        <v>96</v>
      </c>
      <c r="H181" t="s">
        <v>12</v>
      </c>
    </row>
    <row r="182" spans="1:8" x14ac:dyDescent="0.3">
      <c r="A182" s="2">
        <v>45645</v>
      </c>
      <c r="B182" t="s">
        <v>9</v>
      </c>
      <c r="C182">
        <v>78</v>
      </c>
      <c r="D182">
        <v>168</v>
      </c>
      <c r="E182">
        <v>13104</v>
      </c>
      <c r="F182">
        <v>24</v>
      </c>
      <c r="G182">
        <v>54</v>
      </c>
      <c r="H182" t="s">
        <v>12</v>
      </c>
    </row>
    <row r="183" spans="1:8" x14ac:dyDescent="0.3">
      <c r="A183" s="2">
        <v>45645</v>
      </c>
      <c r="B183" t="s">
        <v>10</v>
      </c>
      <c r="C183">
        <v>11</v>
      </c>
      <c r="D183">
        <v>114</v>
      </c>
      <c r="E183">
        <v>1254</v>
      </c>
      <c r="F183">
        <v>5</v>
      </c>
      <c r="G183">
        <v>6</v>
      </c>
      <c r="H183" t="s">
        <v>12</v>
      </c>
    </row>
    <row r="184" spans="1:8" x14ac:dyDescent="0.3">
      <c r="A184" s="2">
        <v>45646</v>
      </c>
      <c r="B184" t="s">
        <v>7</v>
      </c>
      <c r="C184">
        <v>81</v>
      </c>
      <c r="D184">
        <v>124</v>
      </c>
      <c r="E184">
        <v>10044</v>
      </c>
      <c r="F184">
        <v>11</v>
      </c>
      <c r="G184">
        <v>70</v>
      </c>
      <c r="H184" t="s">
        <v>12</v>
      </c>
    </row>
    <row r="185" spans="1:8" x14ac:dyDescent="0.3">
      <c r="A185" s="2">
        <v>45648</v>
      </c>
      <c r="B185" t="s">
        <v>8</v>
      </c>
      <c r="C185">
        <v>24</v>
      </c>
      <c r="D185">
        <v>228</v>
      </c>
      <c r="E185">
        <v>5472</v>
      </c>
      <c r="F185">
        <v>10</v>
      </c>
      <c r="G185">
        <v>14</v>
      </c>
      <c r="H185" t="s">
        <v>12</v>
      </c>
    </row>
    <row r="186" spans="1:8" x14ac:dyDescent="0.3">
      <c r="A186" s="2">
        <v>45649</v>
      </c>
      <c r="B186" t="s">
        <v>7</v>
      </c>
      <c r="C186">
        <v>25</v>
      </c>
      <c r="D186">
        <v>247</v>
      </c>
      <c r="E186">
        <v>6175</v>
      </c>
      <c r="F186">
        <v>10</v>
      </c>
      <c r="G186">
        <v>15</v>
      </c>
      <c r="H186" t="s">
        <v>12</v>
      </c>
    </row>
    <row r="187" spans="1:8" x14ac:dyDescent="0.3">
      <c r="A187" s="2">
        <v>45649</v>
      </c>
      <c r="B187" t="s">
        <v>10</v>
      </c>
      <c r="C187">
        <v>33</v>
      </c>
      <c r="D187">
        <v>216</v>
      </c>
      <c r="E187">
        <v>7128</v>
      </c>
      <c r="F187">
        <v>9</v>
      </c>
      <c r="G187">
        <v>24</v>
      </c>
      <c r="H187" t="s">
        <v>12</v>
      </c>
    </row>
    <row r="188" spans="1:8" x14ac:dyDescent="0.3">
      <c r="A188" s="2">
        <v>45649</v>
      </c>
      <c r="B188" t="s">
        <v>10</v>
      </c>
      <c r="C188">
        <v>69</v>
      </c>
      <c r="D188">
        <v>169</v>
      </c>
      <c r="E188">
        <v>11661</v>
      </c>
      <c r="F188">
        <v>15</v>
      </c>
      <c r="G188">
        <v>54</v>
      </c>
      <c r="H188" t="s">
        <v>12</v>
      </c>
    </row>
    <row r="189" spans="1:8" x14ac:dyDescent="0.3">
      <c r="A189" s="2">
        <v>45649</v>
      </c>
      <c r="B189" t="s">
        <v>8</v>
      </c>
      <c r="C189">
        <v>17</v>
      </c>
      <c r="D189">
        <v>154</v>
      </c>
      <c r="E189">
        <v>2618</v>
      </c>
      <c r="F189">
        <v>6</v>
      </c>
      <c r="G189">
        <v>11</v>
      </c>
      <c r="H189" t="s">
        <v>12</v>
      </c>
    </row>
    <row r="190" spans="1:8" x14ac:dyDescent="0.3">
      <c r="A190" s="2">
        <v>45651</v>
      </c>
      <c r="B190" t="s">
        <v>8</v>
      </c>
      <c r="C190">
        <v>28</v>
      </c>
      <c r="D190">
        <v>159</v>
      </c>
      <c r="E190">
        <v>4452</v>
      </c>
      <c r="F190">
        <v>4</v>
      </c>
      <c r="G190">
        <v>24</v>
      </c>
      <c r="H190" t="s">
        <v>12</v>
      </c>
    </row>
    <row r="191" spans="1:8" x14ac:dyDescent="0.3">
      <c r="A191" s="2">
        <v>45651</v>
      </c>
      <c r="B191" t="s">
        <v>10</v>
      </c>
      <c r="C191">
        <v>11</v>
      </c>
      <c r="D191">
        <v>188</v>
      </c>
      <c r="E191">
        <v>2068</v>
      </c>
      <c r="F191">
        <v>4</v>
      </c>
      <c r="G191">
        <v>7</v>
      </c>
      <c r="H191" t="s">
        <v>12</v>
      </c>
    </row>
    <row r="192" spans="1:8" x14ac:dyDescent="0.3">
      <c r="A192" s="2">
        <v>45651</v>
      </c>
      <c r="B192" t="s">
        <v>9</v>
      </c>
      <c r="C192">
        <v>91</v>
      </c>
      <c r="D192">
        <v>159</v>
      </c>
      <c r="E192">
        <v>14469</v>
      </c>
      <c r="F192">
        <v>37</v>
      </c>
      <c r="G192">
        <v>54</v>
      </c>
      <c r="H192" t="s">
        <v>12</v>
      </c>
    </row>
    <row r="193" spans="1:8" x14ac:dyDescent="0.3">
      <c r="A193" s="2">
        <v>45652</v>
      </c>
      <c r="B193" t="s">
        <v>10</v>
      </c>
      <c r="C193">
        <v>24</v>
      </c>
      <c r="D193">
        <v>147</v>
      </c>
      <c r="E193">
        <v>3528</v>
      </c>
      <c r="F193">
        <v>5</v>
      </c>
      <c r="G193">
        <v>19</v>
      </c>
      <c r="H193" t="s">
        <v>12</v>
      </c>
    </row>
    <row r="194" spans="1:8" x14ac:dyDescent="0.3">
      <c r="A194" s="2">
        <v>45655</v>
      </c>
      <c r="B194" t="s">
        <v>10</v>
      </c>
      <c r="C194">
        <v>54</v>
      </c>
      <c r="D194">
        <v>138</v>
      </c>
      <c r="E194">
        <v>7452</v>
      </c>
      <c r="F194">
        <v>16</v>
      </c>
      <c r="G194">
        <v>38</v>
      </c>
      <c r="H194" t="s">
        <v>12</v>
      </c>
    </row>
    <row r="195" spans="1:8" x14ac:dyDescent="0.3">
      <c r="A195" s="2">
        <v>45655</v>
      </c>
      <c r="B195" t="s">
        <v>9</v>
      </c>
      <c r="C195">
        <v>10</v>
      </c>
      <c r="D195">
        <v>264</v>
      </c>
      <c r="E195">
        <v>2640</v>
      </c>
      <c r="F195">
        <v>5</v>
      </c>
      <c r="G195">
        <v>5</v>
      </c>
      <c r="H195" t="s">
        <v>12</v>
      </c>
    </row>
    <row r="196" spans="1:8" x14ac:dyDescent="0.3">
      <c r="A196" s="2">
        <v>45656</v>
      </c>
      <c r="B196" t="s">
        <v>7</v>
      </c>
      <c r="C196">
        <v>53</v>
      </c>
      <c r="D196">
        <v>118</v>
      </c>
      <c r="E196">
        <v>6254</v>
      </c>
      <c r="F196">
        <v>19</v>
      </c>
      <c r="G196">
        <v>34</v>
      </c>
      <c r="H196" t="s">
        <v>12</v>
      </c>
    </row>
    <row r="197" spans="1:8" x14ac:dyDescent="0.3">
      <c r="A197" s="2">
        <v>45656</v>
      </c>
      <c r="B197" t="s">
        <v>9</v>
      </c>
      <c r="C197">
        <v>99</v>
      </c>
      <c r="D197">
        <v>251</v>
      </c>
      <c r="E197">
        <v>24849</v>
      </c>
      <c r="F197">
        <v>13</v>
      </c>
      <c r="G197">
        <v>86</v>
      </c>
      <c r="H197" t="s">
        <v>12</v>
      </c>
    </row>
    <row r="198" spans="1:8" x14ac:dyDescent="0.3">
      <c r="A198" s="2">
        <v>45657</v>
      </c>
      <c r="B198" t="s">
        <v>10</v>
      </c>
      <c r="C198">
        <v>59</v>
      </c>
      <c r="D198">
        <v>139</v>
      </c>
      <c r="E198">
        <v>8201</v>
      </c>
      <c r="F198">
        <v>1</v>
      </c>
      <c r="G198">
        <v>58</v>
      </c>
      <c r="H198" t="s">
        <v>12</v>
      </c>
    </row>
    <row r="199" spans="1:8" x14ac:dyDescent="0.3">
      <c r="A199" s="2">
        <v>45657</v>
      </c>
      <c r="B199" t="s">
        <v>9</v>
      </c>
      <c r="C199">
        <v>74</v>
      </c>
      <c r="D199">
        <v>218</v>
      </c>
      <c r="E199">
        <v>16132</v>
      </c>
      <c r="F199">
        <v>22</v>
      </c>
      <c r="G199">
        <v>52</v>
      </c>
      <c r="H199" t="s">
        <v>12</v>
      </c>
    </row>
    <row r="200" spans="1:8" x14ac:dyDescent="0.3">
      <c r="A200" s="2">
        <v>45657</v>
      </c>
      <c r="B200" t="s">
        <v>10</v>
      </c>
      <c r="C200">
        <v>47</v>
      </c>
      <c r="D200">
        <v>111</v>
      </c>
      <c r="E200">
        <v>5217</v>
      </c>
      <c r="F200">
        <v>12</v>
      </c>
      <c r="G200">
        <v>35</v>
      </c>
      <c r="H200" t="s">
        <v>12</v>
      </c>
    </row>
    <row r="201" spans="1:8" x14ac:dyDescent="0.3">
      <c r="A201" s="2">
        <v>45657</v>
      </c>
      <c r="B201" t="s">
        <v>8</v>
      </c>
      <c r="C201">
        <v>36</v>
      </c>
      <c r="D201">
        <v>276</v>
      </c>
      <c r="E201">
        <v>9936</v>
      </c>
      <c r="F201">
        <v>6</v>
      </c>
      <c r="G201">
        <v>30</v>
      </c>
      <c r="H201" t="s">
        <v>12</v>
      </c>
    </row>
  </sheetData>
  <autoFilter ref="A1:A201" xr:uid="{00000000-0001-0000-0000-000000000000}"/>
  <sortState xmlns:xlrd2="http://schemas.microsoft.com/office/spreadsheetml/2017/richdata2" ref="A2:H201">
    <sortCondition ref="A1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92B4-D911-492B-AF87-AD62252E29F0}">
  <dimension ref="A2:K48"/>
  <sheetViews>
    <sheetView topLeftCell="A37" workbookViewId="0">
      <selection activeCell="E48" sqref="E48"/>
    </sheetView>
  </sheetViews>
  <sheetFormatPr defaultRowHeight="14.4" x14ac:dyDescent="0.3"/>
  <cols>
    <col min="1" max="1" width="24.88671875" customWidth="1"/>
    <col min="2" max="2" width="10.5546875" customWidth="1"/>
    <col min="3" max="3" width="22.6640625" customWidth="1"/>
    <col min="4" max="4" width="10.88671875" customWidth="1"/>
    <col min="5" max="5" width="13.21875" customWidth="1"/>
    <col min="6" max="6" width="12.109375" customWidth="1"/>
    <col min="8" max="8" width="17.33203125" bestFit="1" customWidth="1"/>
    <col min="9" max="9" width="15.5546875" bestFit="1" customWidth="1"/>
    <col min="10" max="10" width="17.5546875" bestFit="1" customWidth="1"/>
    <col min="11" max="11" width="16.88671875" bestFit="1" customWidth="1"/>
  </cols>
  <sheetData>
    <row r="2" spans="2:3" x14ac:dyDescent="0.3">
      <c r="B2" s="5" t="s">
        <v>59</v>
      </c>
      <c r="C2" s="6" t="s">
        <v>60</v>
      </c>
    </row>
    <row r="3" spans="2:3" x14ac:dyDescent="0.3">
      <c r="B3" t="s">
        <v>55</v>
      </c>
      <c r="C3">
        <f>SUMIF('Inventory Data'!B2:B201,"Adhesive",'Inventory Data'!C2:C201)</f>
        <v>3341</v>
      </c>
    </row>
    <row r="4" spans="2:3" x14ac:dyDescent="0.3">
      <c r="B4" t="s">
        <v>56</v>
      </c>
      <c r="C4">
        <f>SUMIF('Inventory Data'!B2:B201,"Vinyl",'Inventory Data'!C2:C201)</f>
        <v>2358</v>
      </c>
    </row>
    <row r="5" spans="2:3" x14ac:dyDescent="0.3">
      <c r="B5" t="s">
        <v>57</v>
      </c>
      <c r="C5">
        <f>SUMIF('Inventory Data'!B2:B201,"Silicone",'Inventory Data'!C2:C201)</f>
        <v>2675</v>
      </c>
    </row>
    <row r="6" spans="2:3" x14ac:dyDescent="0.3">
      <c r="B6" t="s">
        <v>58</v>
      </c>
      <c r="C6">
        <f>SUMIF('Inventory Data'!B2:B201,"Ink",'Inventory Data'!C2:C201)</f>
        <v>2999</v>
      </c>
    </row>
    <row r="19" spans="2:3" x14ac:dyDescent="0.3">
      <c r="B19" s="5" t="s">
        <v>61</v>
      </c>
      <c r="C19" s="6" t="s">
        <v>65</v>
      </c>
    </row>
    <row r="20" spans="2:3" x14ac:dyDescent="0.3">
      <c r="B20" t="s">
        <v>63</v>
      </c>
      <c r="C20">
        <f xml:space="preserve"> SUMIF('Inventory Data'!H2:H201,"2024-10",'Inventory Data'!C2:C201)</f>
        <v>4631</v>
      </c>
    </row>
    <row r="21" spans="2:3" x14ac:dyDescent="0.3">
      <c r="B21" t="s">
        <v>64</v>
      </c>
      <c r="C21">
        <f xml:space="preserve"> SUMIF('Inventory Data'!H2:H201,"2024-11",'Inventory Data'!C2:C201)</f>
        <v>3240</v>
      </c>
    </row>
    <row r="22" spans="2:3" x14ac:dyDescent="0.3">
      <c r="B22" t="s">
        <v>62</v>
      </c>
      <c r="C22">
        <f xml:space="preserve"> SUMIF('Inventory Data'!H2:H201,"2024-12",'Inventory Data'!C2:C201)</f>
        <v>3502</v>
      </c>
    </row>
    <row r="37" spans="1:11" x14ac:dyDescent="0.3">
      <c r="A37" s="5" t="s">
        <v>66</v>
      </c>
      <c r="B37" s="8">
        <f xml:space="preserve">  SUM('Inventory Data'!F2:F201)/((SUM('Inventory Data'!C2:C201)+ SUM('Inventory Data'!G2:G201)/2))</f>
        <v>0.18263817809621288</v>
      </c>
      <c r="C37" s="7" t="s">
        <v>68</v>
      </c>
    </row>
    <row r="38" spans="1:11" x14ac:dyDescent="0.3">
      <c r="C38" t="s">
        <v>67</v>
      </c>
    </row>
    <row r="41" spans="1:11" x14ac:dyDescent="0.3">
      <c r="C41" t="s">
        <v>69</v>
      </c>
      <c r="D41" t="s">
        <v>63</v>
      </c>
      <c r="E41" t="s">
        <v>64</v>
      </c>
      <c r="F41" t="s">
        <v>62</v>
      </c>
    </row>
    <row r="42" spans="1:11" x14ac:dyDescent="0.3">
      <c r="C42" t="s">
        <v>1</v>
      </c>
      <c r="D42">
        <f xml:space="preserve"> SUMIF('Inventory Data'!H2:H201,"2024-10",'Inventory Data'!C2:C201)</f>
        <v>4631</v>
      </c>
      <c r="E42">
        <v>3240</v>
      </c>
      <c r="F42">
        <v>3502</v>
      </c>
    </row>
    <row r="43" spans="1:11" x14ac:dyDescent="0.3">
      <c r="C43" t="s">
        <v>75</v>
      </c>
      <c r="D43">
        <f>AVERAGE(SUMIF('Inventory Data'!H2:H201,"2024-10",'Inventory Data'!F2:F201))</f>
        <v>1217</v>
      </c>
      <c r="E43">
        <f>AVERAGE(SUMIF('Inventory Data'!H2:H201,"2024-11",'Inventory Data'!F2:F201))</f>
        <v>726</v>
      </c>
      <c r="F43">
        <f>AVERAGE(SUMIF('Inventory Data'!H2:H201,"2024-12",'Inventory Data'!F2:F201))</f>
        <v>912</v>
      </c>
    </row>
    <row r="44" spans="1:11" x14ac:dyDescent="0.3">
      <c r="C44" t="s">
        <v>76</v>
      </c>
      <c r="D44">
        <f>AVERAGE(SUMIF('Inventory Data'!H2:H201,"2024-10",'Inventory Data'!G2:G201))</f>
        <v>3414</v>
      </c>
      <c r="E44">
        <f>AVERAGE(SUMIF('Inventory Data'!H2:H201,"2024-11",'Inventory Data'!G2:G201))</f>
        <v>2514</v>
      </c>
      <c r="F44">
        <f>AVERAGE(SUMIF('Inventory Data'!H2:H201,"2024-12",'Inventory Data'!G2:G201))</f>
        <v>2590</v>
      </c>
      <c r="H44" s="9" t="s">
        <v>70</v>
      </c>
      <c r="I44" t="s">
        <v>72</v>
      </c>
      <c r="J44" t="s">
        <v>73</v>
      </c>
      <c r="K44" t="s">
        <v>74</v>
      </c>
    </row>
    <row r="45" spans="1:11" x14ac:dyDescent="0.3">
      <c r="H45" s="10" t="s">
        <v>4</v>
      </c>
      <c r="I45">
        <v>1217</v>
      </c>
      <c r="J45">
        <v>726</v>
      </c>
      <c r="K45">
        <v>912</v>
      </c>
    </row>
    <row r="46" spans="1:11" x14ac:dyDescent="0.3">
      <c r="H46" s="10" t="s">
        <v>1</v>
      </c>
      <c r="I46">
        <v>4631</v>
      </c>
      <c r="J46">
        <v>3240</v>
      </c>
      <c r="K46">
        <v>3502</v>
      </c>
    </row>
    <row r="47" spans="1:11" x14ac:dyDescent="0.3">
      <c r="H47" s="10" t="s">
        <v>5</v>
      </c>
      <c r="I47">
        <v>3414</v>
      </c>
      <c r="J47">
        <v>2514</v>
      </c>
      <c r="K47">
        <v>2590</v>
      </c>
    </row>
    <row r="48" spans="1:11" x14ac:dyDescent="0.3">
      <c r="H48" s="10" t="s">
        <v>71</v>
      </c>
      <c r="I48">
        <v>9262</v>
      </c>
      <c r="J48">
        <v>6480</v>
      </c>
      <c r="K48">
        <v>7004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1"/>
  <sheetViews>
    <sheetView workbookViewId="0">
      <selection activeCell="L11" sqref="L11"/>
    </sheetView>
  </sheetViews>
  <sheetFormatPr defaultRowHeight="14.4" x14ac:dyDescent="0.3"/>
  <cols>
    <col min="1" max="1" width="17.21875" customWidth="1"/>
    <col min="2" max="2" width="19.44140625" customWidth="1"/>
    <col min="3" max="3" width="21.6640625" customWidth="1"/>
    <col min="4" max="4" width="13.33203125" customWidth="1"/>
    <col min="5" max="5" width="11.88671875" customWidth="1"/>
    <col min="6" max="6" width="13.44140625" customWidth="1"/>
    <col min="7" max="7" width="17.77734375" customWidth="1"/>
    <col min="8" max="8" width="15.44140625" customWidth="1"/>
    <col min="10" max="10" width="17.6640625" customWidth="1"/>
  </cols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2</v>
      </c>
      <c r="F1" s="1" t="s">
        <v>18</v>
      </c>
      <c r="G1" s="1" t="s">
        <v>3</v>
      </c>
      <c r="H1" s="1" t="s">
        <v>19</v>
      </c>
      <c r="I1" s="1" t="s">
        <v>20</v>
      </c>
      <c r="J1" s="1" t="s">
        <v>21</v>
      </c>
      <c r="K1" s="11" t="s">
        <v>77</v>
      </c>
    </row>
    <row r="2" spans="1:11" x14ac:dyDescent="0.3">
      <c r="A2" s="2">
        <v>45566</v>
      </c>
      <c r="B2" t="s">
        <v>24</v>
      </c>
      <c r="C2" t="s">
        <v>39</v>
      </c>
      <c r="D2">
        <v>1500</v>
      </c>
      <c r="E2">
        <v>5</v>
      </c>
      <c r="F2">
        <v>4</v>
      </c>
      <c r="G2">
        <v>6000</v>
      </c>
      <c r="H2">
        <v>7500</v>
      </c>
      <c r="I2">
        <v>1500</v>
      </c>
      <c r="J2">
        <v>20</v>
      </c>
    </row>
    <row r="3" spans="1:11" x14ac:dyDescent="0.3">
      <c r="A3" s="2">
        <v>45566</v>
      </c>
      <c r="B3" t="s">
        <v>22</v>
      </c>
      <c r="C3" t="s">
        <v>28</v>
      </c>
      <c r="D3">
        <v>2500</v>
      </c>
      <c r="E3">
        <v>15</v>
      </c>
      <c r="F3">
        <v>5</v>
      </c>
      <c r="G3">
        <v>12500</v>
      </c>
      <c r="H3">
        <v>37500</v>
      </c>
      <c r="I3">
        <v>25000</v>
      </c>
      <c r="J3">
        <v>67</v>
      </c>
    </row>
    <row r="4" spans="1:11" x14ac:dyDescent="0.3">
      <c r="A4" s="2">
        <v>45566</v>
      </c>
      <c r="B4" t="s">
        <v>23</v>
      </c>
      <c r="C4" t="s">
        <v>26</v>
      </c>
      <c r="D4">
        <v>1500</v>
      </c>
      <c r="E4">
        <v>13</v>
      </c>
      <c r="F4">
        <v>3</v>
      </c>
      <c r="G4">
        <v>4500</v>
      </c>
      <c r="H4">
        <v>19500</v>
      </c>
      <c r="I4">
        <v>15000</v>
      </c>
      <c r="J4">
        <v>77</v>
      </c>
    </row>
    <row r="5" spans="1:11" x14ac:dyDescent="0.3">
      <c r="A5" s="2">
        <v>45566</v>
      </c>
      <c r="B5" t="s">
        <v>22</v>
      </c>
      <c r="C5" t="s">
        <v>34</v>
      </c>
      <c r="D5">
        <v>500</v>
      </c>
      <c r="E5">
        <v>7</v>
      </c>
      <c r="F5">
        <v>5</v>
      </c>
      <c r="G5">
        <v>2500</v>
      </c>
      <c r="H5">
        <v>3500</v>
      </c>
      <c r="I5">
        <v>1000</v>
      </c>
      <c r="J5">
        <v>29</v>
      </c>
    </row>
    <row r="6" spans="1:11" x14ac:dyDescent="0.3">
      <c r="A6" s="2">
        <v>45566</v>
      </c>
      <c r="B6" t="s">
        <v>23</v>
      </c>
      <c r="C6" t="s">
        <v>29</v>
      </c>
      <c r="D6">
        <v>1500</v>
      </c>
      <c r="E6">
        <v>11</v>
      </c>
      <c r="F6">
        <v>5</v>
      </c>
      <c r="G6">
        <v>7500</v>
      </c>
      <c r="H6">
        <v>16500</v>
      </c>
      <c r="I6">
        <v>9000</v>
      </c>
      <c r="J6">
        <v>55</v>
      </c>
    </row>
    <row r="7" spans="1:11" x14ac:dyDescent="0.3">
      <c r="A7" s="2">
        <v>45566</v>
      </c>
      <c r="B7" t="s">
        <v>24</v>
      </c>
      <c r="C7" t="s">
        <v>39</v>
      </c>
      <c r="D7">
        <v>1000</v>
      </c>
      <c r="E7">
        <v>7</v>
      </c>
      <c r="F7">
        <v>3</v>
      </c>
      <c r="G7">
        <v>3000</v>
      </c>
      <c r="H7">
        <v>7000</v>
      </c>
      <c r="I7">
        <v>4000</v>
      </c>
      <c r="J7">
        <v>57</v>
      </c>
    </row>
    <row r="8" spans="1:11" x14ac:dyDescent="0.3">
      <c r="A8" s="2">
        <v>45567</v>
      </c>
      <c r="B8" t="s">
        <v>23</v>
      </c>
      <c r="C8" t="s">
        <v>27</v>
      </c>
      <c r="D8">
        <v>1500</v>
      </c>
      <c r="E8">
        <v>18</v>
      </c>
      <c r="F8">
        <v>17</v>
      </c>
      <c r="G8">
        <v>25500</v>
      </c>
      <c r="H8">
        <v>27000</v>
      </c>
      <c r="I8">
        <v>1500</v>
      </c>
      <c r="J8">
        <v>6</v>
      </c>
    </row>
    <row r="9" spans="1:11" x14ac:dyDescent="0.3">
      <c r="A9" s="2">
        <v>45567</v>
      </c>
      <c r="B9" t="s">
        <v>23</v>
      </c>
      <c r="C9" t="s">
        <v>27</v>
      </c>
      <c r="D9">
        <v>2500</v>
      </c>
      <c r="E9">
        <v>15</v>
      </c>
      <c r="F9">
        <v>14</v>
      </c>
      <c r="G9">
        <v>35000</v>
      </c>
      <c r="H9">
        <v>37500</v>
      </c>
      <c r="I9">
        <v>2500</v>
      </c>
      <c r="J9">
        <v>7</v>
      </c>
    </row>
    <row r="10" spans="1:11" x14ac:dyDescent="0.3">
      <c r="A10" s="2">
        <v>45567</v>
      </c>
      <c r="B10" t="s">
        <v>22</v>
      </c>
      <c r="C10" t="s">
        <v>28</v>
      </c>
      <c r="D10">
        <v>2500</v>
      </c>
      <c r="E10">
        <v>17</v>
      </c>
      <c r="F10">
        <v>6</v>
      </c>
      <c r="G10">
        <v>15000</v>
      </c>
      <c r="H10">
        <v>42500</v>
      </c>
      <c r="I10">
        <v>27500</v>
      </c>
      <c r="J10">
        <v>65</v>
      </c>
    </row>
    <row r="11" spans="1:11" x14ac:dyDescent="0.3">
      <c r="A11" s="2">
        <v>45567</v>
      </c>
      <c r="B11" t="s">
        <v>24</v>
      </c>
      <c r="C11" t="s">
        <v>30</v>
      </c>
      <c r="D11">
        <v>1000</v>
      </c>
      <c r="E11">
        <v>8</v>
      </c>
      <c r="F11">
        <v>4</v>
      </c>
      <c r="G11">
        <v>4000</v>
      </c>
      <c r="H11">
        <v>8000</v>
      </c>
      <c r="I11">
        <v>4000</v>
      </c>
      <c r="J11">
        <v>50</v>
      </c>
    </row>
    <row r="12" spans="1:11" x14ac:dyDescent="0.3">
      <c r="A12" s="2">
        <v>45567</v>
      </c>
      <c r="B12" t="s">
        <v>22</v>
      </c>
      <c r="C12" t="s">
        <v>33</v>
      </c>
      <c r="D12">
        <v>1500</v>
      </c>
      <c r="E12">
        <v>19</v>
      </c>
      <c r="F12">
        <v>4</v>
      </c>
      <c r="G12">
        <v>6000</v>
      </c>
      <c r="H12">
        <v>28500</v>
      </c>
      <c r="I12">
        <v>22500</v>
      </c>
      <c r="J12">
        <v>79</v>
      </c>
    </row>
    <row r="13" spans="1:11" x14ac:dyDescent="0.3">
      <c r="A13" s="2">
        <v>45567</v>
      </c>
      <c r="B13" t="s">
        <v>24</v>
      </c>
      <c r="C13" t="s">
        <v>35</v>
      </c>
      <c r="D13">
        <v>2000</v>
      </c>
      <c r="E13">
        <v>5</v>
      </c>
      <c r="F13">
        <v>3</v>
      </c>
      <c r="G13">
        <v>6000</v>
      </c>
      <c r="H13">
        <v>10000</v>
      </c>
      <c r="I13">
        <v>4000</v>
      </c>
      <c r="J13">
        <v>40</v>
      </c>
    </row>
    <row r="14" spans="1:11" x14ac:dyDescent="0.3">
      <c r="A14" s="2">
        <v>45567</v>
      </c>
      <c r="B14" t="s">
        <v>24</v>
      </c>
      <c r="C14" t="s">
        <v>36</v>
      </c>
      <c r="D14">
        <v>2000</v>
      </c>
      <c r="E14">
        <v>19</v>
      </c>
      <c r="F14">
        <v>15</v>
      </c>
      <c r="G14">
        <v>30000</v>
      </c>
      <c r="H14">
        <v>38000</v>
      </c>
      <c r="I14">
        <v>8000</v>
      </c>
      <c r="J14">
        <v>21</v>
      </c>
    </row>
    <row r="15" spans="1:11" x14ac:dyDescent="0.3">
      <c r="A15" s="2">
        <v>45567</v>
      </c>
      <c r="B15" t="s">
        <v>24</v>
      </c>
      <c r="C15" t="s">
        <v>32</v>
      </c>
      <c r="D15">
        <v>1500</v>
      </c>
      <c r="E15">
        <v>14</v>
      </c>
      <c r="F15">
        <v>5</v>
      </c>
      <c r="G15">
        <v>7500</v>
      </c>
      <c r="H15">
        <v>21000</v>
      </c>
      <c r="I15">
        <v>13500</v>
      </c>
      <c r="J15">
        <v>64</v>
      </c>
    </row>
    <row r="16" spans="1:11" x14ac:dyDescent="0.3">
      <c r="A16" s="2">
        <v>45567</v>
      </c>
      <c r="B16" t="s">
        <v>22</v>
      </c>
      <c r="C16" t="s">
        <v>34</v>
      </c>
      <c r="D16">
        <v>1000</v>
      </c>
      <c r="E16">
        <v>11</v>
      </c>
      <c r="F16">
        <v>3</v>
      </c>
      <c r="G16">
        <v>3000</v>
      </c>
      <c r="H16">
        <v>11000</v>
      </c>
      <c r="I16">
        <v>8000</v>
      </c>
      <c r="J16">
        <v>73</v>
      </c>
    </row>
    <row r="17" spans="1:10" x14ac:dyDescent="0.3">
      <c r="A17" s="2">
        <v>45567</v>
      </c>
      <c r="B17" t="s">
        <v>22</v>
      </c>
      <c r="C17" t="s">
        <v>37</v>
      </c>
      <c r="D17">
        <v>500</v>
      </c>
      <c r="E17">
        <v>9</v>
      </c>
      <c r="F17">
        <v>5</v>
      </c>
      <c r="G17">
        <v>2500</v>
      </c>
      <c r="H17">
        <v>4500</v>
      </c>
      <c r="I17">
        <v>2000</v>
      </c>
      <c r="J17">
        <v>44</v>
      </c>
    </row>
    <row r="18" spans="1:10" x14ac:dyDescent="0.3">
      <c r="A18" s="2">
        <v>45567</v>
      </c>
      <c r="B18" t="s">
        <v>23</v>
      </c>
      <c r="C18" t="s">
        <v>38</v>
      </c>
      <c r="D18">
        <v>2500</v>
      </c>
      <c r="E18">
        <v>11</v>
      </c>
      <c r="F18">
        <v>3</v>
      </c>
      <c r="G18">
        <v>7500</v>
      </c>
      <c r="H18">
        <v>27500</v>
      </c>
      <c r="I18">
        <v>20000</v>
      </c>
      <c r="J18">
        <v>73</v>
      </c>
    </row>
    <row r="19" spans="1:10" x14ac:dyDescent="0.3">
      <c r="A19" s="2">
        <v>45568</v>
      </c>
      <c r="B19" t="s">
        <v>22</v>
      </c>
      <c r="C19" t="s">
        <v>28</v>
      </c>
      <c r="D19">
        <v>1000</v>
      </c>
      <c r="E19">
        <v>12</v>
      </c>
      <c r="F19">
        <v>11</v>
      </c>
      <c r="G19">
        <v>11000</v>
      </c>
      <c r="H19">
        <v>12000</v>
      </c>
      <c r="I19">
        <v>1000</v>
      </c>
      <c r="J19">
        <v>8</v>
      </c>
    </row>
    <row r="20" spans="1:10" x14ac:dyDescent="0.3">
      <c r="A20" s="2">
        <v>45568</v>
      </c>
      <c r="B20" t="s">
        <v>22</v>
      </c>
      <c r="C20" t="s">
        <v>33</v>
      </c>
      <c r="D20">
        <v>1500</v>
      </c>
      <c r="E20">
        <v>19</v>
      </c>
      <c r="F20">
        <v>15</v>
      </c>
      <c r="G20">
        <v>22500</v>
      </c>
      <c r="H20">
        <v>28500</v>
      </c>
      <c r="I20">
        <v>6000</v>
      </c>
      <c r="J20">
        <v>21</v>
      </c>
    </row>
    <row r="21" spans="1:10" x14ac:dyDescent="0.3">
      <c r="A21" s="2">
        <v>45568</v>
      </c>
      <c r="B21" t="s">
        <v>22</v>
      </c>
      <c r="C21" t="s">
        <v>28</v>
      </c>
      <c r="D21">
        <v>2000</v>
      </c>
      <c r="E21">
        <v>14</v>
      </c>
      <c r="F21">
        <v>9</v>
      </c>
      <c r="G21">
        <v>18000</v>
      </c>
      <c r="H21">
        <v>28000</v>
      </c>
      <c r="I21">
        <v>10000</v>
      </c>
      <c r="J21">
        <v>36</v>
      </c>
    </row>
    <row r="22" spans="1:10" x14ac:dyDescent="0.3">
      <c r="A22" s="2">
        <v>45568</v>
      </c>
      <c r="B22" t="s">
        <v>23</v>
      </c>
      <c r="C22" t="s">
        <v>29</v>
      </c>
      <c r="D22">
        <v>2500</v>
      </c>
      <c r="E22">
        <v>19</v>
      </c>
      <c r="F22">
        <v>9</v>
      </c>
      <c r="G22">
        <v>22500</v>
      </c>
      <c r="H22">
        <v>47500</v>
      </c>
      <c r="I22">
        <v>25000</v>
      </c>
      <c r="J22">
        <v>53</v>
      </c>
    </row>
    <row r="23" spans="1:10" x14ac:dyDescent="0.3">
      <c r="A23" s="2">
        <v>45568</v>
      </c>
      <c r="B23" t="s">
        <v>23</v>
      </c>
      <c r="C23" t="s">
        <v>27</v>
      </c>
      <c r="D23">
        <v>500</v>
      </c>
      <c r="E23">
        <v>18</v>
      </c>
      <c r="F23">
        <v>15</v>
      </c>
      <c r="G23">
        <v>7500</v>
      </c>
      <c r="H23">
        <v>9000</v>
      </c>
      <c r="I23">
        <v>1500</v>
      </c>
      <c r="J23">
        <v>17</v>
      </c>
    </row>
    <row r="24" spans="1:10" x14ac:dyDescent="0.3">
      <c r="A24" s="2">
        <v>45568</v>
      </c>
      <c r="B24" t="s">
        <v>23</v>
      </c>
      <c r="C24" t="s">
        <v>29</v>
      </c>
      <c r="D24">
        <v>1000</v>
      </c>
      <c r="E24">
        <v>6</v>
      </c>
      <c r="F24">
        <v>3</v>
      </c>
      <c r="G24">
        <v>3000</v>
      </c>
      <c r="H24">
        <v>6000</v>
      </c>
      <c r="I24">
        <v>3000</v>
      </c>
      <c r="J24">
        <v>50</v>
      </c>
    </row>
    <row r="25" spans="1:10" x14ac:dyDescent="0.3">
      <c r="A25" s="2">
        <v>45568</v>
      </c>
      <c r="B25" t="s">
        <v>23</v>
      </c>
      <c r="C25" t="s">
        <v>31</v>
      </c>
      <c r="D25">
        <v>2000</v>
      </c>
      <c r="E25">
        <v>7</v>
      </c>
      <c r="F25">
        <v>4</v>
      </c>
      <c r="G25">
        <v>8000</v>
      </c>
      <c r="H25">
        <v>14000</v>
      </c>
      <c r="I25">
        <v>6000</v>
      </c>
      <c r="J25">
        <v>43</v>
      </c>
    </row>
    <row r="26" spans="1:10" x14ac:dyDescent="0.3">
      <c r="A26" s="2">
        <v>45568</v>
      </c>
      <c r="B26" t="s">
        <v>22</v>
      </c>
      <c r="C26" t="s">
        <v>37</v>
      </c>
      <c r="D26">
        <v>1000</v>
      </c>
      <c r="E26">
        <v>10</v>
      </c>
      <c r="F26">
        <v>7</v>
      </c>
      <c r="G26">
        <v>7000</v>
      </c>
      <c r="H26">
        <v>10000</v>
      </c>
      <c r="I26">
        <v>3000</v>
      </c>
      <c r="J26">
        <v>30</v>
      </c>
    </row>
    <row r="27" spans="1:10" x14ac:dyDescent="0.3">
      <c r="A27" s="2">
        <v>45568</v>
      </c>
      <c r="B27" t="s">
        <v>23</v>
      </c>
      <c r="C27" t="s">
        <v>31</v>
      </c>
      <c r="D27">
        <v>1500</v>
      </c>
      <c r="E27">
        <v>13</v>
      </c>
      <c r="F27">
        <v>11</v>
      </c>
      <c r="G27">
        <v>16500</v>
      </c>
      <c r="H27">
        <v>19500</v>
      </c>
      <c r="I27">
        <v>3000</v>
      </c>
      <c r="J27">
        <v>15</v>
      </c>
    </row>
    <row r="28" spans="1:10" x14ac:dyDescent="0.3">
      <c r="A28" s="2">
        <v>45568</v>
      </c>
      <c r="B28" t="s">
        <v>24</v>
      </c>
      <c r="C28" t="s">
        <v>30</v>
      </c>
      <c r="D28">
        <v>1500</v>
      </c>
      <c r="E28">
        <v>19</v>
      </c>
      <c r="F28">
        <v>18</v>
      </c>
      <c r="G28">
        <v>27000</v>
      </c>
      <c r="H28">
        <v>28500</v>
      </c>
      <c r="I28">
        <v>1500</v>
      </c>
      <c r="J28">
        <v>5</v>
      </c>
    </row>
    <row r="29" spans="1:10" x14ac:dyDescent="0.3">
      <c r="A29" s="2">
        <v>45568</v>
      </c>
      <c r="B29" t="s">
        <v>22</v>
      </c>
      <c r="C29" t="s">
        <v>33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2">
        <v>45568</v>
      </c>
      <c r="B30" t="s">
        <v>23</v>
      </c>
      <c r="C30" t="s">
        <v>31</v>
      </c>
      <c r="D30">
        <v>500</v>
      </c>
      <c r="E30">
        <v>5</v>
      </c>
      <c r="F30">
        <v>3</v>
      </c>
      <c r="G30">
        <v>1500</v>
      </c>
      <c r="H30">
        <v>2500</v>
      </c>
      <c r="I30">
        <v>1000</v>
      </c>
      <c r="J30">
        <v>40</v>
      </c>
    </row>
    <row r="31" spans="1:10" x14ac:dyDescent="0.3">
      <c r="A31" s="2">
        <v>45569</v>
      </c>
      <c r="B31" t="s">
        <v>23</v>
      </c>
      <c r="C31" t="s">
        <v>27</v>
      </c>
      <c r="D31">
        <v>500</v>
      </c>
      <c r="E31">
        <v>12</v>
      </c>
      <c r="F31">
        <v>10</v>
      </c>
      <c r="G31">
        <v>5000</v>
      </c>
      <c r="H31">
        <v>6000</v>
      </c>
      <c r="I31">
        <v>1000</v>
      </c>
      <c r="J31">
        <v>17</v>
      </c>
    </row>
    <row r="32" spans="1:10" x14ac:dyDescent="0.3">
      <c r="A32" s="2">
        <v>45569</v>
      </c>
      <c r="B32" t="s">
        <v>24</v>
      </c>
      <c r="C32" t="s">
        <v>32</v>
      </c>
      <c r="D32">
        <v>2000</v>
      </c>
      <c r="E32">
        <v>17</v>
      </c>
      <c r="F32">
        <v>10</v>
      </c>
      <c r="G32">
        <v>20000</v>
      </c>
      <c r="H32">
        <v>34000</v>
      </c>
      <c r="I32">
        <v>14000</v>
      </c>
      <c r="J32">
        <v>41</v>
      </c>
    </row>
    <row r="33" spans="1:10" x14ac:dyDescent="0.3">
      <c r="A33" s="2">
        <v>45569</v>
      </c>
      <c r="B33" t="s">
        <v>23</v>
      </c>
      <c r="C33" t="s">
        <v>31</v>
      </c>
      <c r="D33">
        <v>1000</v>
      </c>
      <c r="E33">
        <v>5</v>
      </c>
      <c r="F33">
        <v>4</v>
      </c>
      <c r="G33">
        <v>4000</v>
      </c>
      <c r="H33">
        <v>5000</v>
      </c>
      <c r="I33">
        <v>1000</v>
      </c>
      <c r="J33">
        <v>20</v>
      </c>
    </row>
    <row r="34" spans="1:10" x14ac:dyDescent="0.3">
      <c r="A34" s="2">
        <v>45569</v>
      </c>
      <c r="B34" t="s">
        <v>23</v>
      </c>
      <c r="C34" t="s">
        <v>38</v>
      </c>
      <c r="D34">
        <v>2000</v>
      </c>
      <c r="E34">
        <v>5</v>
      </c>
      <c r="F34">
        <v>4</v>
      </c>
      <c r="G34">
        <v>8000</v>
      </c>
      <c r="H34">
        <v>10000</v>
      </c>
      <c r="I34">
        <v>2000</v>
      </c>
      <c r="J34">
        <v>20</v>
      </c>
    </row>
    <row r="35" spans="1:10" x14ac:dyDescent="0.3">
      <c r="A35" s="2">
        <v>45569</v>
      </c>
      <c r="B35" t="s">
        <v>22</v>
      </c>
      <c r="C35" t="s">
        <v>33</v>
      </c>
      <c r="D35">
        <v>500</v>
      </c>
      <c r="E35">
        <v>13</v>
      </c>
      <c r="F35">
        <v>4</v>
      </c>
      <c r="G35">
        <v>2000</v>
      </c>
      <c r="H35">
        <v>6500</v>
      </c>
      <c r="I35">
        <v>4500</v>
      </c>
      <c r="J35">
        <v>69</v>
      </c>
    </row>
    <row r="36" spans="1:10" x14ac:dyDescent="0.3">
      <c r="A36" s="2">
        <v>45569</v>
      </c>
      <c r="B36" t="s">
        <v>22</v>
      </c>
      <c r="C36" t="s">
        <v>34</v>
      </c>
      <c r="D36">
        <v>2500</v>
      </c>
      <c r="E36">
        <v>14</v>
      </c>
      <c r="F36">
        <v>10</v>
      </c>
      <c r="G36">
        <v>25000</v>
      </c>
      <c r="H36">
        <v>35000</v>
      </c>
      <c r="I36">
        <v>10000</v>
      </c>
      <c r="J36">
        <v>29</v>
      </c>
    </row>
    <row r="37" spans="1:10" x14ac:dyDescent="0.3">
      <c r="A37" s="2">
        <v>45569</v>
      </c>
      <c r="B37" t="s">
        <v>23</v>
      </c>
      <c r="C37" t="s">
        <v>27</v>
      </c>
      <c r="D37">
        <v>1000</v>
      </c>
      <c r="E37">
        <v>7</v>
      </c>
      <c r="F37">
        <v>3</v>
      </c>
      <c r="G37">
        <v>3000</v>
      </c>
      <c r="H37">
        <v>7000</v>
      </c>
      <c r="I37">
        <v>4000</v>
      </c>
      <c r="J37">
        <v>57</v>
      </c>
    </row>
    <row r="38" spans="1:10" x14ac:dyDescent="0.3">
      <c r="A38" s="2">
        <v>45569</v>
      </c>
      <c r="B38" t="s">
        <v>23</v>
      </c>
      <c r="C38" t="s">
        <v>26</v>
      </c>
      <c r="D38">
        <v>1500</v>
      </c>
      <c r="E38">
        <v>17</v>
      </c>
      <c r="F38">
        <v>4</v>
      </c>
      <c r="G38">
        <v>6000</v>
      </c>
      <c r="H38">
        <v>25500</v>
      </c>
      <c r="I38">
        <v>19500</v>
      </c>
      <c r="J38">
        <v>76</v>
      </c>
    </row>
    <row r="39" spans="1:10" x14ac:dyDescent="0.3">
      <c r="A39" s="2">
        <v>45569</v>
      </c>
      <c r="B39" t="s">
        <v>23</v>
      </c>
      <c r="C39" t="s">
        <v>26</v>
      </c>
      <c r="D39">
        <v>1000</v>
      </c>
      <c r="E39">
        <v>13</v>
      </c>
      <c r="F39">
        <v>6</v>
      </c>
      <c r="G39">
        <v>6000</v>
      </c>
      <c r="H39">
        <v>13000</v>
      </c>
      <c r="I39">
        <v>7000</v>
      </c>
      <c r="J39">
        <v>54</v>
      </c>
    </row>
    <row r="40" spans="1:10" x14ac:dyDescent="0.3">
      <c r="A40" s="2">
        <v>45569</v>
      </c>
      <c r="B40" t="s">
        <v>24</v>
      </c>
      <c r="C40" t="s">
        <v>30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2">
        <v>45570</v>
      </c>
      <c r="B41" t="s">
        <v>24</v>
      </c>
      <c r="C41" t="s">
        <v>30</v>
      </c>
      <c r="D41">
        <v>1500</v>
      </c>
      <c r="E41">
        <v>15</v>
      </c>
      <c r="F41">
        <v>8</v>
      </c>
      <c r="G41">
        <v>12000</v>
      </c>
      <c r="H41">
        <v>22500</v>
      </c>
      <c r="I41">
        <v>10500</v>
      </c>
      <c r="J41">
        <v>47</v>
      </c>
    </row>
    <row r="42" spans="1:10" x14ac:dyDescent="0.3">
      <c r="A42" s="2">
        <v>45570</v>
      </c>
      <c r="B42" t="s">
        <v>23</v>
      </c>
      <c r="C42" t="s">
        <v>38</v>
      </c>
      <c r="D42">
        <v>1000</v>
      </c>
      <c r="E42">
        <v>12</v>
      </c>
      <c r="F42">
        <v>8</v>
      </c>
      <c r="G42">
        <v>8000</v>
      </c>
      <c r="H42">
        <v>12000</v>
      </c>
      <c r="I42">
        <v>4000</v>
      </c>
      <c r="J42">
        <v>33</v>
      </c>
    </row>
    <row r="43" spans="1:10" x14ac:dyDescent="0.3">
      <c r="A43" s="2">
        <v>45570</v>
      </c>
      <c r="B43" t="s">
        <v>22</v>
      </c>
      <c r="C43" t="s">
        <v>34</v>
      </c>
      <c r="D43">
        <v>1000</v>
      </c>
      <c r="E43">
        <v>15</v>
      </c>
      <c r="F43">
        <v>14</v>
      </c>
      <c r="G43">
        <v>14000</v>
      </c>
      <c r="H43">
        <v>15000</v>
      </c>
      <c r="I43">
        <v>1000</v>
      </c>
      <c r="J43">
        <v>7</v>
      </c>
    </row>
    <row r="44" spans="1:10" x14ac:dyDescent="0.3">
      <c r="A44" s="2">
        <v>45570</v>
      </c>
      <c r="B44" t="s">
        <v>24</v>
      </c>
      <c r="C44" t="s">
        <v>30</v>
      </c>
      <c r="D44">
        <v>2000</v>
      </c>
      <c r="E44">
        <v>20</v>
      </c>
      <c r="F44">
        <v>17</v>
      </c>
      <c r="G44">
        <v>34000</v>
      </c>
      <c r="H44">
        <v>40000</v>
      </c>
      <c r="I44">
        <v>6000</v>
      </c>
      <c r="J44">
        <v>15</v>
      </c>
    </row>
    <row r="45" spans="1:10" x14ac:dyDescent="0.3">
      <c r="A45" s="2">
        <v>45570</v>
      </c>
      <c r="B45" t="s">
        <v>24</v>
      </c>
      <c r="C45" t="s">
        <v>36</v>
      </c>
      <c r="D45">
        <v>1000</v>
      </c>
      <c r="E45">
        <v>11</v>
      </c>
      <c r="F45">
        <v>8</v>
      </c>
      <c r="G45">
        <v>8000</v>
      </c>
      <c r="H45">
        <v>11000</v>
      </c>
      <c r="I45">
        <v>3000</v>
      </c>
      <c r="J45">
        <v>27</v>
      </c>
    </row>
    <row r="46" spans="1:10" x14ac:dyDescent="0.3">
      <c r="A46" s="2">
        <v>45570</v>
      </c>
      <c r="B46" t="s">
        <v>23</v>
      </c>
      <c r="C46" t="s">
        <v>29</v>
      </c>
      <c r="D46">
        <v>2500</v>
      </c>
      <c r="E46">
        <v>7</v>
      </c>
      <c r="F46">
        <v>5</v>
      </c>
      <c r="G46">
        <v>12500</v>
      </c>
      <c r="H46">
        <v>17500</v>
      </c>
      <c r="I46">
        <v>5000</v>
      </c>
      <c r="J46">
        <v>29</v>
      </c>
    </row>
    <row r="47" spans="1:10" x14ac:dyDescent="0.3">
      <c r="A47" s="2">
        <v>45570</v>
      </c>
      <c r="B47" t="s">
        <v>23</v>
      </c>
      <c r="C47" t="s">
        <v>29</v>
      </c>
      <c r="D47">
        <v>1000</v>
      </c>
      <c r="E47">
        <v>8</v>
      </c>
      <c r="F47">
        <v>4</v>
      </c>
      <c r="G47">
        <v>4000</v>
      </c>
      <c r="H47">
        <v>8000</v>
      </c>
      <c r="I47">
        <v>4000</v>
      </c>
      <c r="J47">
        <v>50</v>
      </c>
    </row>
    <row r="48" spans="1:10" x14ac:dyDescent="0.3">
      <c r="A48" s="2">
        <v>45570</v>
      </c>
      <c r="B48" t="s">
        <v>23</v>
      </c>
      <c r="C48" t="s">
        <v>27</v>
      </c>
      <c r="D48">
        <v>2000</v>
      </c>
      <c r="E48">
        <v>11</v>
      </c>
      <c r="F48">
        <v>6</v>
      </c>
      <c r="G48">
        <v>12000</v>
      </c>
      <c r="H48">
        <v>22000</v>
      </c>
      <c r="I48">
        <v>10000</v>
      </c>
      <c r="J48">
        <v>45</v>
      </c>
    </row>
    <row r="49" spans="1:10" x14ac:dyDescent="0.3">
      <c r="A49" s="2">
        <v>45570</v>
      </c>
      <c r="B49" t="s">
        <v>24</v>
      </c>
      <c r="C49" t="s">
        <v>35</v>
      </c>
      <c r="D49">
        <v>500</v>
      </c>
      <c r="E49">
        <v>19</v>
      </c>
      <c r="F49">
        <v>4</v>
      </c>
      <c r="G49">
        <v>2000</v>
      </c>
      <c r="H49">
        <v>9500</v>
      </c>
      <c r="I49">
        <v>7500</v>
      </c>
      <c r="J49">
        <v>79</v>
      </c>
    </row>
    <row r="50" spans="1:10" x14ac:dyDescent="0.3">
      <c r="A50" s="2">
        <v>45571</v>
      </c>
      <c r="B50" t="s">
        <v>22</v>
      </c>
      <c r="C50" t="s">
        <v>33</v>
      </c>
      <c r="D50">
        <v>1500</v>
      </c>
      <c r="E50">
        <v>10</v>
      </c>
      <c r="F50">
        <v>4</v>
      </c>
      <c r="G50">
        <v>6000</v>
      </c>
      <c r="H50">
        <v>15000</v>
      </c>
      <c r="I50">
        <v>9000</v>
      </c>
      <c r="J50">
        <v>60</v>
      </c>
    </row>
    <row r="51" spans="1:10" x14ac:dyDescent="0.3">
      <c r="A51" s="2">
        <v>45571</v>
      </c>
      <c r="B51" t="s">
        <v>22</v>
      </c>
      <c r="C51" t="s">
        <v>37</v>
      </c>
      <c r="D51">
        <v>1500</v>
      </c>
      <c r="E51">
        <v>16</v>
      </c>
      <c r="F51">
        <v>4</v>
      </c>
      <c r="G51">
        <v>6000</v>
      </c>
      <c r="H51">
        <v>24000</v>
      </c>
      <c r="I51">
        <v>18000</v>
      </c>
      <c r="J51">
        <v>75</v>
      </c>
    </row>
    <row r="52" spans="1:10" x14ac:dyDescent="0.3">
      <c r="A52" s="2">
        <v>45571</v>
      </c>
      <c r="B52" t="s">
        <v>24</v>
      </c>
      <c r="C52" t="s">
        <v>36</v>
      </c>
      <c r="D52">
        <v>1500</v>
      </c>
      <c r="E52">
        <v>13</v>
      </c>
      <c r="F52">
        <v>12</v>
      </c>
      <c r="G52">
        <v>18000</v>
      </c>
      <c r="H52">
        <v>19500</v>
      </c>
      <c r="I52">
        <v>1500</v>
      </c>
      <c r="J52">
        <v>8</v>
      </c>
    </row>
    <row r="53" spans="1:10" x14ac:dyDescent="0.3">
      <c r="A53" s="2">
        <v>45571</v>
      </c>
      <c r="B53" t="s">
        <v>24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s="2">
        <v>45571</v>
      </c>
      <c r="B54" t="s">
        <v>24</v>
      </c>
      <c r="C54" t="s">
        <v>35</v>
      </c>
      <c r="D54">
        <v>2500</v>
      </c>
      <c r="E54">
        <v>20</v>
      </c>
      <c r="F54">
        <v>5</v>
      </c>
      <c r="G54">
        <v>12500</v>
      </c>
      <c r="H54">
        <v>50000</v>
      </c>
      <c r="I54">
        <v>37500</v>
      </c>
      <c r="J54">
        <v>75</v>
      </c>
    </row>
    <row r="55" spans="1:10" x14ac:dyDescent="0.3">
      <c r="A55" s="2">
        <v>45571</v>
      </c>
      <c r="B55" t="s">
        <v>23</v>
      </c>
      <c r="C55" t="s">
        <v>31</v>
      </c>
      <c r="D55">
        <v>1000</v>
      </c>
      <c r="E55">
        <v>8</v>
      </c>
      <c r="F55">
        <v>6</v>
      </c>
      <c r="G55">
        <v>6000</v>
      </c>
      <c r="H55">
        <v>8000</v>
      </c>
      <c r="I55">
        <v>2000</v>
      </c>
      <c r="J55">
        <v>25</v>
      </c>
    </row>
    <row r="56" spans="1:10" x14ac:dyDescent="0.3">
      <c r="A56" s="2">
        <v>45571</v>
      </c>
      <c r="B56" t="s">
        <v>23</v>
      </c>
      <c r="C56" t="s">
        <v>27</v>
      </c>
      <c r="D56">
        <v>1000</v>
      </c>
      <c r="E56">
        <v>5</v>
      </c>
      <c r="F56">
        <v>3</v>
      </c>
      <c r="G56">
        <v>3000</v>
      </c>
      <c r="H56">
        <v>5000</v>
      </c>
      <c r="I56">
        <v>2000</v>
      </c>
      <c r="J56">
        <v>40</v>
      </c>
    </row>
    <row r="57" spans="1:10" x14ac:dyDescent="0.3">
      <c r="A57" s="2">
        <v>45572</v>
      </c>
      <c r="B57" t="s">
        <v>24</v>
      </c>
      <c r="C57" t="s">
        <v>32</v>
      </c>
      <c r="D57">
        <v>500</v>
      </c>
      <c r="E57">
        <v>19</v>
      </c>
      <c r="F57">
        <v>5</v>
      </c>
      <c r="G57">
        <v>2500</v>
      </c>
      <c r="H57">
        <v>9500</v>
      </c>
      <c r="I57">
        <v>7000</v>
      </c>
      <c r="J57">
        <v>74</v>
      </c>
    </row>
    <row r="58" spans="1:10" x14ac:dyDescent="0.3">
      <c r="A58" s="2">
        <v>45573</v>
      </c>
      <c r="B58" t="s">
        <v>24</v>
      </c>
      <c r="C58" t="s">
        <v>35</v>
      </c>
      <c r="D58">
        <v>2000</v>
      </c>
      <c r="E58">
        <v>16</v>
      </c>
      <c r="F58">
        <v>14</v>
      </c>
      <c r="G58">
        <v>28000</v>
      </c>
      <c r="H58">
        <v>32000</v>
      </c>
      <c r="I58">
        <v>4000</v>
      </c>
      <c r="J58">
        <v>12</v>
      </c>
    </row>
    <row r="59" spans="1:10" x14ac:dyDescent="0.3">
      <c r="A59" s="2">
        <v>45573</v>
      </c>
      <c r="B59" t="s">
        <v>22</v>
      </c>
      <c r="C59" t="s">
        <v>34</v>
      </c>
      <c r="D59">
        <v>2000</v>
      </c>
      <c r="E59">
        <v>10</v>
      </c>
      <c r="F59">
        <v>8</v>
      </c>
      <c r="G59">
        <v>16000</v>
      </c>
      <c r="H59">
        <v>20000</v>
      </c>
      <c r="I59">
        <v>4000</v>
      </c>
      <c r="J59">
        <v>20</v>
      </c>
    </row>
    <row r="60" spans="1:10" x14ac:dyDescent="0.3">
      <c r="A60" s="2">
        <v>45573</v>
      </c>
      <c r="B60" t="s">
        <v>23</v>
      </c>
      <c r="C60" t="s">
        <v>31</v>
      </c>
      <c r="D60">
        <v>2500</v>
      </c>
      <c r="E60">
        <v>16</v>
      </c>
      <c r="F60">
        <v>3</v>
      </c>
      <c r="G60">
        <v>7500</v>
      </c>
      <c r="H60">
        <v>40000</v>
      </c>
      <c r="I60">
        <v>32500</v>
      </c>
      <c r="J60">
        <v>81</v>
      </c>
    </row>
    <row r="61" spans="1:10" x14ac:dyDescent="0.3">
      <c r="A61" s="2">
        <v>45573</v>
      </c>
      <c r="B61" t="s">
        <v>23</v>
      </c>
      <c r="C61" t="s">
        <v>38</v>
      </c>
      <c r="D61">
        <v>1000</v>
      </c>
      <c r="E61">
        <v>16</v>
      </c>
      <c r="F61">
        <v>13</v>
      </c>
      <c r="G61">
        <v>13000</v>
      </c>
      <c r="H61">
        <v>16000</v>
      </c>
      <c r="I61">
        <v>3000</v>
      </c>
      <c r="J61">
        <v>19</v>
      </c>
    </row>
    <row r="62" spans="1:10" x14ac:dyDescent="0.3">
      <c r="A62" s="2">
        <v>45573</v>
      </c>
      <c r="B62" t="s">
        <v>23</v>
      </c>
      <c r="C62" t="s">
        <v>38</v>
      </c>
      <c r="D62">
        <v>1000</v>
      </c>
      <c r="E62">
        <v>9</v>
      </c>
      <c r="F62">
        <v>5</v>
      </c>
      <c r="G62">
        <v>5000</v>
      </c>
      <c r="H62">
        <v>9000</v>
      </c>
      <c r="I62">
        <v>4000</v>
      </c>
      <c r="J62">
        <v>44</v>
      </c>
    </row>
    <row r="63" spans="1:10" x14ac:dyDescent="0.3">
      <c r="A63" s="2">
        <v>45573</v>
      </c>
      <c r="B63" t="s">
        <v>23</v>
      </c>
      <c r="C63" t="s">
        <v>31</v>
      </c>
      <c r="D63">
        <v>1500</v>
      </c>
      <c r="E63">
        <v>19</v>
      </c>
      <c r="F63">
        <v>16</v>
      </c>
      <c r="G63">
        <v>24000</v>
      </c>
      <c r="H63">
        <v>28500</v>
      </c>
      <c r="I63">
        <v>4500</v>
      </c>
      <c r="J63">
        <v>16</v>
      </c>
    </row>
    <row r="64" spans="1:10" x14ac:dyDescent="0.3">
      <c r="A64" s="2">
        <v>45574</v>
      </c>
      <c r="B64" t="s">
        <v>24</v>
      </c>
      <c r="C64" t="s">
        <v>36</v>
      </c>
      <c r="D64">
        <v>1500</v>
      </c>
      <c r="E64">
        <v>13</v>
      </c>
      <c r="F64">
        <v>6</v>
      </c>
      <c r="G64">
        <v>9000</v>
      </c>
      <c r="H64">
        <v>19500</v>
      </c>
      <c r="I64">
        <v>10500</v>
      </c>
      <c r="J64">
        <v>54</v>
      </c>
    </row>
    <row r="65" spans="1:10" x14ac:dyDescent="0.3">
      <c r="A65" s="2">
        <v>45574</v>
      </c>
      <c r="B65" t="s">
        <v>22</v>
      </c>
      <c r="C65" t="s">
        <v>28</v>
      </c>
      <c r="D65">
        <v>2500</v>
      </c>
      <c r="E65">
        <v>12</v>
      </c>
      <c r="F65">
        <v>8</v>
      </c>
      <c r="G65">
        <v>20000</v>
      </c>
      <c r="H65">
        <v>30000</v>
      </c>
      <c r="I65">
        <v>10000</v>
      </c>
      <c r="J65">
        <v>33</v>
      </c>
    </row>
    <row r="66" spans="1:10" x14ac:dyDescent="0.3">
      <c r="A66" s="2">
        <v>45574</v>
      </c>
      <c r="B66" t="s">
        <v>22</v>
      </c>
      <c r="C66" t="s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2">
        <v>45574</v>
      </c>
      <c r="B67" t="s">
        <v>24</v>
      </c>
      <c r="C67" t="s">
        <v>35</v>
      </c>
      <c r="D67">
        <v>1500</v>
      </c>
      <c r="E67">
        <v>7</v>
      </c>
      <c r="F67">
        <v>6</v>
      </c>
      <c r="G67">
        <v>9000</v>
      </c>
      <c r="H67">
        <v>10500</v>
      </c>
      <c r="I67">
        <v>1500</v>
      </c>
      <c r="J67">
        <v>14</v>
      </c>
    </row>
    <row r="68" spans="1:10" x14ac:dyDescent="0.3">
      <c r="A68" s="2">
        <v>45574</v>
      </c>
      <c r="B68" t="s">
        <v>23</v>
      </c>
      <c r="C68" t="s">
        <v>26</v>
      </c>
      <c r="D68">
        <v>2500</v>
      </c>
      <c r="E68">
        <v>8</v>
      </c>
      <c r="F68">
        <v>4</v>
      </c>
      <c r="G68">
        <v>10000</v>
      </c>
      <c r="H68">
        <v>20000</v>
      </c>
      <c r="I68">
        <v>10000</v>
      </c>
      <c r="J68">
        <v>50</v>
      </c>
    </row>
    <row r="69" spans="1:10" x14ac:dyDescent="0.3">
      <c r="A69" s="2">
        <v>45575</v>
      </c>
      <c r="B69" t="s">
        <v>22</v>
      </c>
      <c r="C69" t="s">
        <v>34</v>
      </c>
      <c r="D69">
        <v>1000</v>
      </c>
      <c r="E69">
        <v>13</v>
      </c>
      <c r="F69">
        <v>12</v>
      </c>
      <c r="G69">
        <v>12000</v>
      </c>
      <c r="H69">
        <v>13000</v>
      </c>
      <c r="I69">
        <v>1000</v>
      </c>
      <c r="J69">
        <v>8</v>
      </c>
    </row>
    <row r="70" spans="1:10" x14ac:dyDescent="0.3">
      <c r="A70" s="2">
        <v>45575</v>
      </c>
      <c r="B70" t="s">
        <v>23</v>
      </c>
      <c r="C70" t="s">
        <v>31</v>
      </c>
      <c r="D70">
        <v>2000</v>
      </c>
      <c r="E70">
        <v>5</v>
      </c>
      <c r="F70">
        <v>3</v>
      </c>
      <c r="G70">
        <v>6000</v>
      </c>
      <c r="H70">
        <v>10000</v>
      </c>
      <c r="I70">
        <v>4000</v>
      </c>
      <c r="J70">
        <v>40</v>
      </c>
    </row>
    <row r="71" spans="1:10" x14ac:dyDescent="0.3">
      <c r="A71" s="2">
        <v>45575</v>
      </c>
      <c r="B71" t="s">
        <v>22</v>
      </c>
      <c r="C71" t="s">
        <v>25</v>
      </c>
      <c r="D71">
        <v>500</v>
      </c>
      <c r="E71">
        <v>12</v>
      </c>
      <c r="F71">
        <v>6</v>
      </c>
      <c r="G71">
        <v>3000</v>
      </c>
      <c r="H71">
        <v>6000</v>
      </c>
      <c r="I71">
        <v>3000</v>
      </c>
      <c r="J71">
        <v>50</v>
      </c>
    </row>
    <row r="72" spans="1:10" x14ac:dyDescent="0.3">
      <c r="A72" s="2">
        <v>45575</v>
      </c>
      <c r="B72" t="s">
        <v>23</v>
      </c>
      <c r="C72" t="s">
        <v>26</v>
      </c>
      <c r="D72">
        <v>2000</v>
      </c>
      <c r="E72">
        <v>7</v>
      </c>
      <c r="F72">
        <v>4</v>
      </c>
      <c r="G72">
        <v>8000</v>
      </c>
      <c r="H72">
        <v>14000</v>
      </c>
      <c r="I72">
        <v>6000</v>
      </c>
      <c r="J72">
        <v>43</v>
      </c>
    </row>
    <row r="73" spans="1:10" x14ac:dyDescent="0.3">
      <c r="A73" s="2">
        <v>45575</v>
      </c>
      <c r="B73" t="s">
        <v>23</v>
      </c>
      <c r="C73" t="s">
        <v>29</v>
      </c>
      <c r="D73">
        <v>1500</v>
      </c>
      <c r="E73">
        <v>8</v>
      </c>
      <c r="F73">
        <v>6</v>
      </c>
      <c r="G73">
        <v>9000</v>
      </c>
      <c r="H73">
        <v>12000</v>
      </c>
      <c r="I73">
        <v>3000</v>
      </c>
      <c r="J73">
        <v>25</v>
      </c>
    </row>
    <row r="74" spans="1:10" x14ac:dyDescent="0.3">
      <c r="A74" s="2">
        <v>45575</v>
      </c>
      <c r="B74" t="s">
        <v>24</v>
      </c>
      <c r="C74" t="s">
        <v>36</v>
      </c>
      <c r="D74">
        <v>2500</v>
      </c>
      <c r="E74">
        <v>16</v>
      </c>
      <c r="F74">
        <v>10</v>
      </c>
      <c r="G74">
        <v>25000</v>
      </c>
      <c r="H74">
        <v>40000</v>
      </c>
      <c r="I74">
        <v>15000</v>
      </c>
      <c r="J74">
        <v>38</v>
      </c>
    </row>
    <row r="75" spans="1:10" x14ac:dyDescent="0.3">
      <c r="A75" s="2">
        <v>45575</v>
      </c>
      <c r="B75" t="s">
        <v>22</v>
      </c>
      <c r="C75" t="s">
        <v>37</v>
      </c>
      <c r="D75">
        <v>2000</v>
      </c>
      <c r="E75">
        <v>17</v>
      </c>
      <c r="F75">
        <v>13</v>
      </c>
      <c r="G75">
        <v>26000</v>
      </c>
      <c r="H75">
        <v>34000</v>
      </c>
      <c r="I75">
        <v>8000</v>
      </c>
      <c r="J75">
        <v>24</v>
      </c>
    </row>
    <row r="76" spans="1:10" x14ac:dyDescent="0.3">
      <c r="A76" s="2">
        <v>45576</v>
      </c>
      <c r="B76" t="s">
        <v>22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2">
        <v>45576</v>
      </c>
      <c r="B77" t="s">
        <v>23</v>
      </c>
      <c r="C77" t="s">
        <v>31</v>
      </c>
      <c r="D77">
        <v>1000</v>
      </c>
      <c r="E77">
        <v>9</v>
      </c>
      <c r="F77">
        <v>6</v>
      </c>
      <c r="G77">
        <v>6000</v>
      </c>
      <c r="H77">
        <v>9000</v>
      </c>
      <c r="I77">
        <v>3000</v>
      </c>
      <c r="J77">
        <v>33</v>
      </c>
    </row>
    <row r="78" spans="1:10" x14ac:dyDescent="0.3">
      <c r="A78" s="2">
        <v>45577</v>
      </c>
      <c r="B78" t="s">
        <v>23</v>
      </c>
      <c r="C78" t="s">
        <v>38</v>
      </c>
      <c r="D78">
        <v>1500</v>
      </c>
      <c r="E78">
        <v>5</v>
      </c>
      <c r="F78">
        <v>4</v>
      </c>
      <c r="G78">
        <v>6000</v>
      </c>
      <c r="H78">
        <v>7500</v>
      </c>
      <c r="I78">
        <v>1500</v>
      </c>
      <c r="J78">
        <v>20</v>
      </c>
    </row>
    <row r="79" spans="1:10" x14ac:dyDescent="0.3">
      <c r="A79" s="2">
        <v>45577</v>
      </c>
      <c r="B79" t="s">
        <v>24</v>
      </c>
      <c r="C79" t="s">
        <v>30</v>
      </c>
      <c r="D79">
        <v>2500</v>
      </c>
      <c r="E79">
        <v>16</v>
      </c>
      <c r="F79">
        <v>15</v>
      </c>
      <c r="G79">
        <v>37500</v>
      </c>
      <c r="H79">
        <v>40000</v>
      </c>
      <c r="I79">
        <v>2500</v>
      </c>
      <c r="J79">
        <v>6</v>
      </c>
    </row>
    <row r="80" spans="1:10" x14ac:dyDescent="0.3">
      <c r="A80" s="2">
        <v>45577</v>
      </c>
      <c r="B80" t="s">
        <v>24</v>
      </c>
      <c r="C80" t="s">
        <v>35</v>
      </c>
      <c r="D80">
        <v>1000</v>
      </c>
      <c r="E80">
        <v>19</v>
      </c>
      <c r="F80">
        <v>18</v>
      </c>
      <c r="G80">
        <v>18000</v>
      </c>
      <c r="H80">
        <v>19000</v>
      </c>
      <c r="I80">
        <v>1000</v>
      </c>
      <c r="J80">
        <v>5</v>
      </c>
    </row>
    <row r="81" spans="1:10" x14ac:dyDescent="0.3">
      <c r="A81" s="2">
        <v>45578</v>
      </c>
      <c r="B81" t="s">
        <v>22</v>
      </c>
      <c r="C81" t="s">
        <v>33</v>
      </c>
      <c r="D81">
        <v>2000</v>
      </c>
      <c r="E81">
        <v>10</v>
      </c>
      <c r="F81">
        <v>8</v>
      </c>
      <c r="G81">
        <v>16000</v>
      </c>
      <c r="H81">
        <v>20000</v>
      </c>
      <c r="I81">
        <v>4000</v>
      </c>
      <c r="J81">
        <v>20</v>
      </c>
    </row>
    <row r="82" spans="1:10" x14ac:dyDescent="0.3">
      <c r="A82" s="2">
        <v>45578</v>
      </c>
      <c r="B82" t="s">
        <v>24</v>
      </c>
      <c r="C82" t="s">
        <v>36</v>
      </c>
      <c r="D82">
        <v>1000</v>
      </c>
      <c r="E82">
        <v>13</v>
      </c>
      <c r="F82">
        <v>10</v>
      </c>
      <c r="G82">
        <v>10000</v>
      </c>
      <c r="H82">
        <v>13000</v>
      </c>
      <c r="I82">
        <v>3000</v>
      </c>
      <c r="J82">
        <v>23</v>
      </c>
    </row>
    <row r="83" spans="1:10" x14ac:dyDescent="0.3">
      <c r="A83" s="2">
        <v>45578</v>
      </c>
      <c r="B83" t="s">
        <v>24</v>
      </c>
      <c r="C83" t="s">
        <v>30</v>
      </c>
      <c r="D83">
        <v>2000</v>
      </c>
      <c r="E83">
        <v>12</v>
      </c>
      <c r="F83">
        <v>3</v>
      </c>
      <c r="G83">
        <v>6000</v>
      </c>
      <c r="H83">
        <v>24000</v>
      </c>
      <c r="I83">
        <v>18000</v>
      </c>
      <c r="J83">
        <v>75</v>
      </c>
    </row>
    <row r="84" spans="1:10" x14ac:dyDescent="0.3">
      <c r="A84" s="2">
        <v>45578</v>
      </c>
      <c r="B84" t="s">
        <v>23</v>
      </c>
      <c r="C84" t="s">
        <v>26</v>
      </c>
      <c r="D84">
        <v>500</v>
      </c>
      <c r="E84">
        <v>14</v>
      </c>
      <c r="F84">
        <v>5</v>
      </c>
      <c r="G84">
        <v>2500</v>
      </c>
      <c r="H84">
        <v>7000</v>
      </c>
      <c r="I84">
        <v>4500</v>
      </c>
      <c r="J84">
        <v>64</v>
      </c>
    </row>
    <row r="85" spans="1:10" x14ac:dyDescent="0.3">
      <c r="A85" s="2">
        <v>45578</v>
      </c>
      <c r="B85" t="s">
        <v>23</v>
      </c>
      <c r="C85" t="s">
        <v>29</v>
      </c>
      <c r="D85">
        <v>500</v>
      </c>
      <c r="E85">
        <v>11</v>
      </c>
      <c r="F85">
        <v>6</v>
      </c>
      <c r="G85">
        <v>3000</v>
      </c>
      <c r="H85">
        <v>5500</v>
      </c>
      <c r="I85">
        <v>2500</v>
      </c>
      <c r="J85">
        <v>45</v>
      </c>
    </row>
    <row r="86" spans="1:10" x14ac:dyDescent="0.3">
      <c r="A86" s="2">
        <v>45579</v>
      </c>
      <c r="B86" t="s">
        <v>22</v>
      </c>
      <c r="C86" t="s">
        <v>25</v>
      </c>
      <c r="D86">
        <v>2000</v>
      </c>
      <c r="E86">
        <v>14</v>
      </c>
      <c r="F86">
        <v>8</v>
      </c>
      <c r="G86">
        <v>16000</v>
      </c>
      <c r="H86">
        <v>28000</v>
      </c>
      <c r="I86">
        <v>12000</v>
      </c>
      <c r="J86">
        <v>43</v>
      </c>
    </row>
    <row r="87" spans="1:10" x14ac:dyDescent="0.3">
      <c r="A87" s="2">
        <v>45579</v>
      </c>
      <c r="B87" t="s">
        <v>22</v>
      </c>
      <c r="C87" t="s">
        <v>28</v>
      </c>
      <c r="D87">
        <v>1000</v>
      </c>
      <c r="E87">
        <v>11</v>
      </c>
      <c r="F87">
        <v>8</v>
      </c>
      <c r="G87">
        <v>8000</v>
      </c>
      <c r="H87">
        <v>11000</v>
      </c>
      <c r="I87">
        <v>3000</v>
      </c>
      <c r="J87">
        <v>27</v>
      </c>
    </row>
    <row r="88" spans="1:10" x14ac:dyDescent="0.3">
      <c r="A88" s="2">
        <v>45579</v>
      </c>
      <c r="B88" t="s">
        <v>24</v>
      </c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2">
        <v>45579</v>
      </c>
      <c r="B89" t="s">
        <v>22</v>
      </c>
      <c r="C89" t="s">
        <v>28</v>
      </c>
      <c r="D89">
        <v>500</v>
      </c>
      <c r="E89">
        <v>18</v>
      </c>
      <c r="F89">
        <v>14</v>
      </c>
      <c r="G89">
        <v>7000</v>
      </c>
      <c r="H89">
        <v>9000</v>
      </c>
      <c r="I89">
        <v>2000</v>
      </c>
      <c r="J89">
        <v>22</v>
      </c>
    </row>
    <row r="90" spans="1:10" x14ac:dyDescent="0.3">
      <c r="A90" s="2">
        <v>45579</v>
      </c>
      <c r="B90" t="s">
        <v>23</v>
      </c>
      <c r="C90" t="s">
        <v>31</v>
      </c>
      <c r="D90">
        <v>500</v>
      </c>
      <c r="E90">
        <v>7</v>
      </c>
      <c r="F90">
        <v>5</v>
      </c>
      <c r="G90">
        <v>2500</v>
      </c>
      <c r="H90">
        <v>3500</v>
      </c>
      <c r="I90">
        <v>1000</v>
      </c>
      <c r="J90">
        <v>29</v>
      </c>
    </row>
    <row r="91" spans="1:10" x14ac:dyDescent="0.3">
      <c r="A91" s="2">
        <v>45579</v>
      </c>
      <c r="B91" t="s">
        <v>24</v>
      </c>
      <c r="C91" t="s">
        <v>39</v>
      </c>
      <c r="D91">
        <v>2000</v>
      </c>
      <c r="E91">
        <v>5</v>
      </c>
      <c r="F91">
        <v>4</v>
      </c>
      <c r="G91">
        <v>8000</v>
      </c>
      <c r="H91">
        <v>10000</v>
      </c>
      <c r="I91">
        <v>2000</v>
      </c>
      <c r="J91">
        <v>20</v>
      </c>
    </row>
    <row r="92" spans="1:10" x14ac:dyDescent="0.3">
      <c r="A92" s="2">
        <v>45579</v>
      </c>
      <c r="B92" t="s">
        <v>23</v>
      </c>
      <c r="C92" t="s">
        <v>38</v>
      </c>
      <c r="D92">
        <v>2000</v>
      </c>
      <c r="E92">
        <v>5</v>
      </c>
      <c r="F92">
        <v>3</v>
      </c>
      <c r="G92">
        <v>6000</v>
      </c>
      <c r="H92">
        <v>10000</v>
      </c>
      <c r="I92">
        <v>4000</v>
      </c>
      <c r="J92">
        <v>40</v>
      </c>
    </row>
    <row r="93" spans="1:10" x14ac:dyDescent="0.3">
      <c r="A93" s="2">
        <v>45579</v>
      </c>
      <c r="B93" t="s">
        <v>24</v>
      </c>
      <c r="C93" t="s">
        <v>30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s="2">
        <v>45580</v>
      </c>
      <c r="B94" t="s">
        <v>24</v>
      </c>
      <c r="C94" t="s">
        <v>30</v>
      </c>
      <c r="D94">
        <v>2500</v>
      </c>
      <c r="E94">
        <v>20</v>
      </c>
      <c r="F94">
        <v>13</v>
      </c>
      <c r="G94">
        <v>32500</v>
      </c>
      <c r="H94">
        <v>50000</v>
      </c>
      <c r="I94">
        <v>17500</v>
      </c>
      <c r="J94">
        <v>35</v>
      </c>
    </row>
    <row r="95" spans="1:10" x14ac:dyDescent="0.3">
      <c r="A95" s="2">
        <v>45580</v>
      </c>
      <c r="B95" t="s">
        <v>22</v>
      </c>
      <c r="C95" t="s">
        <v>28</v>
      </c>
      <c r="D95">
        <v>2000</v>
      </c>
      <c r="E95">
        <v>16</v>
      </c>
      <c r="F95">
        <v>11</v>
      </c>
      <c r="G95">
        <v>22000</v>
      </c>
      <c r="H95">
        <v>32000</v>
      </c>
      <c r="I95">
        <v>10000</v>
      </c>
      <c r="J95">
        <v>31</v>
      </c>
    </row>
    <row r="96" spans="1:10" x14ac:dyDescent="0.3">
      <c r="A96" s="2">
        <v>45580</v>
      </c>
      <c r="B96" t="s">
        <v>23</v>
      </c>
      <c r="C96" t="s">
        <v>29</v>
      </c>
      <c r="D96">
        <v>1500</v>
      </c>
      <c r="E96">
        <v>14</v>
      </c>
      <c r="F96">
        <v>5</v>
      </c>
      <c r="G96">
        <v>7500</v>
      </c>
      <c r="H96">
        <v>21000</v>
      </c>
      <c r="I96">
        <v>13500</v>
      </c>
      <c r="J96">
        <v>64</v>
      </c>
    </row>
    <row r="97" spans="1:10" x14ac:dyDescent="0.3">
      <c r="A97" s="2">
        <v>45580</v>
      </c>
      <c r="B97" t="s">
        <v>22</v>
      </c>
      <c r="C97" t="s">
        <v>34</v>
      </c>
      <c r="D97">
        <v>500</v>
      </c>
      <c r="E97">
        <v>10</v>
      </c>
      <c r="F97">
        <v>6</v>
      </c>
      <c r="G97">
        <v>3000</v>
      </c>
      <c r="H97">
        <v>5000</v>
      </c>
      <c r="I97">
        <v>2000</v>
      </c>
      <c r="J97">
        <v>40</v>
      </c>
    </row>
    <row r="98" spans="1:10" x14ac:dyDescent="0.3">
      <c r="A98" s="2">
        <v>45580</v>
      </c>
      <c r="B98" t="s">
        <v>24</v>
      </c>
      <c r="C98" t="s">
        <v>35</v>
      </c>
      <c r="D98">
        <v>2500</v>
      </c>
      <c r="E98">
        <v>15</v>
      </c>
      <c r="F98">
        <v>4</v>
      </c>
      <c r="G98">
        <v>10000</v>
      </c>
      <c r="H98">
        <v>37500</v>
      </c>
      <c r="I98">
        <v>27500</v>
      </c>
      <c r="J98">
        <v>73</v>
      </c>
    </row>
    <row r="99" spans="1:10" x14ac:dyDescent="0.3">
      <c r="A99" s="2">
        <v>45580</v>
      </c>
      <c r="B99" t="s">
        <v>24</v>
      </c>
      <c r="C99" t="s">
        <v>35</v>
      </c>
      <c r="D99">
        <v>2000</v>
      </c>
      <c r="E99">
        <v>15</v>
      </c>
      <c r="F99">
        <v>12</v>
      </c>
      <c r="G99">
        <v>24000</v>
      </c>
      <c r="H99">
        <v>30000</v>
      </c>
      <c r="I99">
        <v>6000</v>
      </c>
      <c r="J99">
        <v>20</v>
      </c>
    </row>
    <row r="100" spans="1:10" x14ac:dyDescent="0.3">
      <c r="A100" s="2">
        <v>45580</v>
      </c>
      <c r="B100" t="s">
        <v>22</v>
      </c>
      <c r="C100" t="s">
        <v>37</v>
      </c>
      <c r="D100">
        <v>500</v>
      </c>
      <c r="E100">
        <v>19</v>
      </c>
      <c r="F100">
        <v>14</v>
      </c>
      <c r="G100">
        <v>7000</v>
      </c>
      <c r="H100">
        <v>9500</v>
      </c>
      <c r="I100">
        <v>2500</v>
      </c>
      <c r="J100">
        <v>26</v>
      </c>
    </row>
    <row r="101" spans="1:10" x14ac:dyDescent="0.3">
      <c r="A101" s="2">
        <v>45580</v>
      </c>
      <c r="B101" t="s">
        <v>23</v>
      </c>
      <c r="C101" t="s">
        <v>31</v>
      </c>
      <c r="D101">
        <v>1000</v>
      </c>
      <c r="E101">
        <v>6</v>
      </c>
      <c r="F101">
        <v>5</v>
      </c>
      <c r="G101">
        <v>5000</v>
      </c>
      <c r="H101">
        <v>6000</v>
      </c>
      <c r="I101">
        <v>1000</v>
      </c>
      <c r="J101">
        <v>17</v>
      </c>
    </row>
    <row r="102" spans="1:10" x14ac:dyDescent="0.3">
      <c r="A102" s="2">
        <v>45580</v>
      </c>
      <c r="B102" t="s">
        <v>24</v>
      </c>
      <c r="C102" t="s">
        <v>36</v>
      </c>
      <c r="D102">
        <v>2500</v>
      </c>
      <c r="E102">
        <v>20</v>
      </c>
      <c r="F102">
        <v>8</v>
      </c>
      <c r="G102">
        <v>20000</v>
      </c>
      <c r="H102">
        <v>50000</v>
      </c>
      <c r="I102">
        <v>30000</v>
      </c>
      <c r="J102">
        <v>60</v>
      </c>
    </row>
    <row r="103" spans="1:10" x14ac:dyDescent="0.3">
      <c r="A103" s="2">
        <v>45580</v>
      </c>
      <c r="B103" t="s">
        <v>22</v>
      </c>
      <c r="C103" t="s">
        <v>28</v>
      </c>
      <c r="D103">
        <v>500</v>
      </c>
      <c r="E103">
        <v>6</v>
      </c>
      <c r="F103">
        <v>3</v>
      </c>
      <c r="G103">
        <v>1500</v>
      </c>
      <c r="H103">
        <v>3000</v>
      </c>
      <c r="I103">
        <v>1500</v>
      </c>
      <c r="J103">
        <v>50</v>
      </c>
    </row>
    <row r="104" spans="1:10" x14ac:dyDescent="0.3">
      <c r="A104" s="2">
        <v>45580</v>
      </c>
      <c r="B104" t="s">
        <v>22</v>
      </c>
      <c r="C104" t="s">
        <v>34</v>
      </c>
      <c r="D104">
        <v>2500</v>
      </c>
      <c r="E104">
        <v>14</v>
      </c>
      <c r="F104">
        <v>6</v>
      </c>
      <c r="G104">
        <v>15000</v>
      </c>
      <c r="H104">
        <v>35000</v>
      </c>
      <c r="I104">
        <v>20000</v>
      </c>
      <c r="J104">
        <v>57</v>
      </c>
    </row>
    <row r="105" spans="1:10" x14ac:dyDescent="0.3">
      <c r="A105" s="2">
        <v>45581</v>
      </c>
      <c r="B105" t="s">
        <v>22</v>
      </c>
      <c r="C105" t="s">
        <v>28</v>
      </c>
      <c r="D105">
        <v>500</v>
      </c>
      <c r="E105">
        <v>13</v>
      </c>
      <c r="F105">
        <v>10</v>
      </c>
      <c r="G105">
        <v>5000</v>
      </c>
      <c r="H105">
        <v>6500</v>
      </c>
      <c r="I105">
        <v>1500</v>
      </c>
      <c r="J105">
        <v>23</v>
      </c>
    </row>
    <row r="106" spans="1:10" x14ac:dyDescent="0.3">
      <c r="A106" s="2">
        <v>45581</v>
      </c>
      <c r="B106" t="s">
        <v>22</v>
      </c>
      <c r="C106" t="s">
        <v>25</v>
      </c>
      <c r="D106">
        <v>1000</v>
      </c>
      <c r="E106">
        <v>7</v>
      </c>
      <c r="F106">
        <v>4</v>
      </c>
      <c r="G106">
        <v>4000</v>
      </c>
      <c r="H106">
        <v>7000</v>
      </c>
      <c r="I106">
        <v>3000</v>
      </c>
      <c r="J106">
        <v>43</v>
      </c>
    </row>
    <row r="107" spans="1:10" x14ac:dyDescent="0.3">
      <c r="A107" s="2">
        <v>45581</v>
      </c>
      <c r="B107" t="s">
        <v>24</v>
      </c>
      <c r="C107" t="s">
        <v>35</v>
      </c>
      <c r="D107">
        <v>1000</v>
      </c>
      <c r="E107">
        <v>15</v>
      </c>
      <c r="F107">
        <v>9</v>
      </c>
      <c r="G107">
        <v>9000</v>
      </c>
      <c r="H107">
        <v>15000</v>
      </c>
      <c r="I107">
        <v>6000</v>
      </c>
      <c r="J107">
        <v>40</v>
      </c>
    </row>
    <row r="108" spans="1:10" x14ac:dyDescent="0.3">
      <c r="A108" s="2">
        <v>45581</v>
      </c>
      <c r="B108" t="s">
        <v>24</v>
      </c>
      <c r="C108" t="s">
        <v>32</v>
      </c>
      <c r="D108">
        <v>1000</v>
      </c>
      <c r="E108">
        <v>19</v>
      </c>
      <c r="F108">
        <v>14</v>
      </c>
      <c r="G108">
        <v>14000</v>
      </c>
      <c r="H108">
        <v>19000</v>
      </c>
      <c r="I108">
        <v>5000</v>
      </c>
      <c r="J108">
        <v>26</v>
      </c>
    </row>
    <row r="109" spans="1:10" x14ac:dyDescent="0.3">
      <c r="A109" s="2">
        <v>45582</v>
      </c>
      <c r="B109" t="s">
        <v>24</v>
      </c>
      <c r="C109" t="s">
        <v>36</v>
      </c>
      <c r="D109">
        <v>1000</v>
      </c>
      <c r="E109">
        <v>11</v>
      </c>
      <c r="F109">
        <v>4</v>
      </c>
      <c r="G109">
        <v>4000</v>
      </c>
      <c r="H109">
        <v>11000</v>
      </c>
      <c r="I109">
        <v>7000</v>
      </c>
      <c r="J109">
        <v>64</v>
      </c>
    </row>
    <row r="110" spans="1:10" x14ac:dyDescent="0.3">
      <c r="A110" s="2">
        <v>45582</v>
      </c>
      <c r="B110" t="s">
        <v>22</v>
      </c>
      <c r="C110" t="s">
        <v>33</v>
      </c>
      <c r="D110">
        <v>1500</v>
      </c>
      <c r="E110">
        <v>5</v>
      </c>
      <c r="F110">
        <v>3</v>
      </c>
      <c r="G110">
        <v>4500</v>
      </c>
      <c r="H110">
        <v>7500</v>
      </c>
      <c r="I110">
        <v>3000</v>
      </c>
      <c r="J110">
        <v>40</v>
      </c>
    </row>
    <row r="111" spans="1:10" x14ac:dyDescent="0.3">
      <c r="A111" s="2">
        <v>45582</v>
      </c>
      <c r="B111" t="s">
        <v>22</v>
      </c>
      <c r="C111" t="s">
        <v>33</v>
      </c>
      <c r="D111">
        <v>1500</v>
      </c>
      <c r="E111">
        <v>13</v>
      </c>
      <c r="F111">
        <v>5</v>
      </c>
      <c r="G111">
        <v>7500</v>
      </c>
      <c r="H111">
        <v>19500</v>
      </c>
      <c r="I111">
        <v>12000</v>
      </c>
      <c r="J111">
        <v>62</v>
      </c>
    </row>
    <row r="112" spans="1:10" x14ac:dyDescent="0.3">
      <c r="A112" s="2">
        <v>45582</v>
      </c>
      <c r="B112" t="s">
        <v>23</v>
      </c>
      <c r="C112" t="s">
        <v>27</v>
      </c>
      <c r="D112">
        <v>1500</v>
      </c>
      <c r="E112">
        <v>18</v>
      </c>
      <c r="F112">
        <v>12</v>
      </c>
      <c r="G112">
        <v>18000</v>
      </c>
      <c r="H112">
        <v>27000</v>
      </c>
      <c r="I112">
        <v>9000</v>
      </c>
      <c r="J112">
        <v>33</v>
      </c>
    </row>
    <row r="113" spans="1:10" x14ac:dyDescent="0.3">
      <c r="A113" s="2">
        <v>45582</v>
      </c>
      <c r="B113" t="s">
        <v>23</v>
      </c>
      <c r="C113" t="s">
        <v>26</v>
      </c>
      <c r="D113">
        <v>1000</v>
      </c>
      <c r="E113">
        <v>7</v>
      </c>
      <c r="F113">
        <v>5</v>
      </c>
      <c r="G113">
        <v>5000</v>
      </c>
      <c r="H113">
        <v>7000</v>
      </c>
      <c r="I113">
        <v>2000</v>
      </c>
      <c r="J113">
        <v>29</v>
      </c>
    </row>
    <row r="114" spans="1:10" x14ac:dyDescent="0.3">
      <c r="A114" s="2">
        <v>45583</v>
      </c>
      <c r="B114" t="s">
        <v>23</v>
      </c>
      <c r="C114" t="s">
        <v>29</v>
      </c>
      <c r="D114">
        <v>500</v>
      </c>
      <c r="E114">
        <v>19</v>
      </c>
      <c r="F114">
        <v>17</v>
      </c>
      <c r="G114">
        <v>8500</v>
      </c>
      <c r="H114">
        <v>9500</v>
      </c>
      <c r="I114">
        <v>1000</v>
      </c>
      <c r="J114">
        <v>11</v>
      </c>
    </row>
    <row r="115" spans="1:10" x14ac:dyDescent="0.3">
      <c r="A115" s="2">
        <v>45583</v>
      </c>
      <c r="B115" t="s">
        <v>23</v>
      </c>
      <c r="C115" t="s">
        <v>26</v>
      </c>
      <c r="D115">
        <v>2500</v>
      </c>
      <c r="E115">
        <v>12</v>
      </c>
      <c r="F115">
        <v>6</v>
      </c>
      <c r="G115">
        <v>15000</v>
      </c>
      <c r="H115">
        <v>30000</v>
      </c>
      <c r="I115">
        <v>15000</v>
      </c>
      <c r="J115">
        <v>50</v>
      </c>
    </row>
    <row r="116" spans="1:10" x14ac:dyDescent="0.3">
      <c r="A116" s="2">
        <v>45584</v>
      </c>
      <c r="B116" t="s">
        <v>24</v>
      </c>
      <c r="C116" t="s">
        <v>30</v>
      </c>
      <c r="D116">
        <v>2500</v>
      </c>
      <c r="E116">
        <v>15</v>
      </c>
      <c r="F116">
        <v>9</v>
      </c>
      <c r="G116">
        <v>22500</v>
      </c>
      <c r="H116">
        <v>37500</v>
      </c>
      <c r="I116">
        <v>15000</v>
      </c>
      <c r="J116">
        <v>40</v>
      </c>
    </row>
    <row r="117" spans="1:10" x14ac:dyDescent="0.3">
      <c r="A117" s="2">
        <v>45584</v>
      </c>
      <c r="B117" t="s">
        <v>24</v>
      </c>
      <c r="C117" t="s">
        <v>36</v>
      </c>
      <c r="D117">
        <v>1000</v>
      </c>
      <c r="E117">
        <v>18</v>
      </c>
      <c r="F117">
        <v>3</v>
      </c>
      <c r="G117">
        <v>3000</v>
      </c>
      <c r="H117">
        <v>18000</v>
      </c>
      <c r="I117">
        <v>15000</v>
      </c>
      <c r="J117">
        <v>83</v>
      </c>
    </row>
    <row r="118" spans="1:10" x14ac:dyDescent="0.3">
      <c r="A118" s="2">
        <v>45585</v>
      </c>
      <c r="B118" t="s">
        <v>24</v>
      </c>
      <c r="C118" t="s">
        <v>36</v>
      </c>
      <c r="D118">
        <v>1000</v>
      </c>
      <c r="E118">
        <v>18</v>
      </c>
      <c r="F118">
        <v>3</v>
      </c>
      <c r="G118">
        <v>3000</v>
      </c>
      <c r="H118">
        <v>18000</v>
      </c>
      <c r="I118">
        <v>15000</v>
      </c>
      <c r="J118">
        <v>83</v>
      </c>
    </row>
    <row r="119" spans="1:10" x14ac:dyDescent="0.3">
      <c r="A119" s="2">
        <v>45585</v>
      </c>
      <c r="B119" t="s">
        <v>23</v>
      </c>
      <c r="C119" t="s">
        <v>26</v>
      </c>
      <c r="D119">
        <v>500</v>
      </c>
      <c r="E119">
        <v>18</v>
      </c>
      <c r="F119">
        <v>16</v>
      </c>
      <c r="G119">
        <v>8000</v>
      </c>
      <c r="H119">
        <v>9000</v>
      </c>
      <c r="I119">
        <v>1000</v>
      </c>
      <c r="J119">
        <v>11</v>
      </c>
    </row>
    <row r="120" spans="1:10" x14ac:dyDescent="0.3">
      <c r="A120" s="2">
        <v>45585</v>
      </c>
      <c r="B120" t="s">
        <v>23</v>
      </c>
      <c r="C120" t="s">
        <v>31</v>
      </c>
      <c r="D120">
        <v>1000</v>
      </c>
      <c r="E120">
        <v>18</v>
      </c>
      <c r="F120">
        <v>12</v>
      </c>
      <c r="G120">
        <v>12000</v>
      </c>
      <c r="H120">
        <v>18000</v>
      </c>
      <c r="I120">
        <v>6000</v>
      </c>
      <c r="J120">
        <v>33</v>
      </c>
    </row>
    <row r="121" spans="1:10" x14ac:dyDescent="0.3">
      <c r="A121" s="2">
        <v>45585</v>
      </c>
      <c r="B121" t="s">
        <v>23</v>
      </c>
      <c r="C121" t="s">
        <v>31</v>
      </c>
      <c r="D121">
        <v>500</v>
      </c>
      <c r="E121">
        <v>13</v>
      </c>
      <c r="F121">
        <v>3</v>
      </c>
      <c r="G121">
        <v>1500</v>
      </c>
      <c r="H121">
        <v>6500</v>
      </c>
      <c r="I121">
        <v>5000</v>
      </c>
      <c r="J121">
        <v>77</v>
      </c>
    </row>
    <row r="122" spans="1:10" x14ac:dyDescent="0.3">
      <c r="A122" s="2">
        <v>45586</v>
      </c>
      <c r="B122" t="s">
        <v>23</v>
      </c>
      <c r="C122" t="s">
        <v>31</v>
      </c>
      <c r="D122">
        <v>2500</v>
      </c>
      <c r="E122">
        <v>9</v>
      </c>
      <c r="F122">
        <v>4</v>
      </c>
      <c r="G122">
        <v>10000</v>
      </c>
      <c r="H122">
        <v>22500</v>
      </c>
      <c r="I122">
        <v>12500</v>
      </c>
      <c r="J122">
        <v>56</v>
      </c>
    </row>
    <row r="123" spans="1:10" x14ac:dyDescent="0.3">
      <c r="A123" s="2">
        <v>45586</v>
      </c>
      <c r="B123" t="s">
        <v>23</v>
      </c>
      <c r="C123" t="s">
        <v>29</v>
      </c>
      <c r="D123">
        <v>2500</v>
      </c>
      <c r="E123">
        <v>16</v>
      </c>
      <c r="F123">
        <v>7</v>
      </c>
      <c r="G123">
        <v>17500</v>
      </c>
      <c r="H123">
        <v>40000</v>
      </c>
      <c r="I123">
        <v>22500</v>
      </c>
      <c r="J123">
        <v>56</v>
      </c>
    </row>
    <row r="124" spans="1:10" x14ac:dyDescent="0.3">
      <c r="A124" s="2">
        <v>45586</v>
      </c>
      <c r="B124" t="s">
        <v>24</v>
      </c>
      <c r="C124" t="s">
        <v>39</v>
      </c>
      <c r="D124">
        <v>500</v>
      </c>
      <c r="E124">
        <v>16</v>
      </c>
      <c r="F124">
        <v>5</v>
      </c>
      <c r="G124">
        <v>2500</v>
      </c>
      <c r="H124">
        <v>8000</v>
      </c>
      <c r="I124">
        <v>5500</v>
      </c>
      <c r="J124">
        <v>69</v>
      </c>
    </row>
    <row r="125" spans="1:10" x14ac:dyDescent="0.3">
      <c r="A125" s="2">
        <v>45586</v>
      </c>
      <c r="B125" t="s">
        <v>22</v>
      </c>
      <c r="C125" t="s">
        <v>25</v>
      </c>
      <c r="D125">
        <v>1000</v>
      </c>
      <c r="E125">
        <v>10</v>
      </c>
      <c r="F125">
        <v>8</v>
      </c>
      <c r="G125">
        <v>8000</v>
      </c>
      <c r="H125">
        <v>10000</v>
      </c>
      <c r="I125">
        <v>2000</v>
      </c>
      <c r="J125">
        <v>20</v>
      </c>
    </row>
    <row r="126" spans="1:10" x14ac:dyDescent="0.3">
      <c r="A126" s="2">
        <v>45586</v>
      </c>
      <c r="B126" t="s">
        <v>24</v>
      </c>
      <c r="C126" t="s">
        <v>39</v>
      </c>
      <c r="D126">
        <v>2000</v>
      </c>
      <c r="E126">
        <v>11</v>
      </c>
      <c r="F126">
        <v>10</v>
      </c>
      <c r="G126">
        <v>20000</v>
      </c>
      <c r="H126">
        <v>22000</v>
      </c>
      <c r="I126">
        <v>2000</v>
      </c>
      <c r="J126">
        <v>9</v>
      </c>
    </row>
    <row r="127" spans="1:10" x14ac:dyDescent="0.3">
      <c r="A127" s="2">
        <v>45586</v>
      </c>
      <c r="B127" t="s">
        <v>24</v>
      </c>
      <c r="C127" t="s">
        <v>35</v>
      </c>
      <c r="D127">
        <v>2000</v>
      </c>
      <c r="E127">
        <v>6</v>
      </c>
      <c r="F127">
        <v>3</v>
      </c>
      <c r="G127">
        <v>6000</v>
      </c>
      <c r="H127">
        <v>12000</v>
      </c>
      <c r="I127">
        <v>6000</v>
      </c>
      <c r="J127">
        <v>50</v>
      </c>
    </row>
    <row r="128" spans="1:10" x14ac:dyDescent="0.3">
      <c r="A128" s="2">
        <v>45586</v>
      </c>
      <c r="B128" t="s">
        <v>23</v>
      </c>
      <c r="C128" t="s">
        <v>31</v>
      </c>
      <c r="D128">
        <v>2000</v>
      </c>
      <c r="E128">
        <v>20</v>
      </c>
      <c r="F128">
        <v>15</v>
      </c>
      <c r="G128">
        <v>30000</v>
      </c>
      <c r="H128">
        <v>40000</v>
      </c>
      <c r="I128">
        <v>10000</v>
      </c>
      <c r="J128">
        <v>25</v>
      </c>
    </row>
    <row r="129" spans="1:10" x14ac:dyDescent="0.3">
      <c r="A129" s="2">
        <v>45586</v>
      </c>
      <c r="B129" t="s">
        <v>23</v>
      </c>
      <c r="C129" t="s">
        <v>31</v>
      </c>
      <c r="D129">
        <v>2500</v>
      </c>
      <c r="E129">
        <v>12</v>
      </c>
      <c r="F129">
        <v>6</v>
      </c>
      <c r="G129">
        <v>15000</v>
      </c>
      <c r="H129">
        <v>30000</v>
      </c>
      <c r="I129">
        <v>15000</v>
      </c>
      <c r="J129">
        <v>50</v>
      </c>
    </row>
    <row r="130" spans="1:10" x14ac:dyDescent="0.3">
      <c r="A130" s="2">
        <v>45586</v>
      </c>
      <c r="B130" t="s">
        <v>23</v>
      </c>
      <c r="C130" t="s">
        <v>27</v>
      </c>
      <c r="D130">
        <v>1000</v>
      </c>
      <c r="E130">
        <v>11</v>
      </c>
      <c r="F130">
        <v>3</v>
      </c>
      <c r="G130">
        <v>3000</v>
      </c>
      <c r="H130">
        <v>11000</v>
      </c>
      <c r="I130">
        <v>8000</v>
      </c>
      <c r="J130">
        <v>73</v>
      </c>
    </row>
    <row r="131" spans="1:10" x14ac:dyDescent="0.3">
      <c r="A131" s="2">
        <v>45586</v>
      </c>
      <c r="B131" t="s">
        <v>23</v>
      </c>
      <c r="C131" t="s">
        <v>29</v>
      </c>
      <c r="D131">
        <v>500</v>
      </c>
      <c r="E131">
        <v>20</v>
      </c>
      <c r="F131">
        <v>9</v>
      </c>
      <c r="G131">
        <v>4500</v>
      </c>
      <c r="H131">
        <v>10000</v>
      </c>
      <c r="I131">
        <v>5500</v>
      </c>
      <c r="J131">
        <v>55</v>
      </c>
    </row>
    <row r="132" spans="1:10" x14ac:dyDescent="0.3">
      <c r="A132" s="2">
        <v>45586</v>
      </c>
      <c r="B132" t="s">
        <v>24</v>
      </c>
      <c r="C132" t="s">
        <v>39</v>
      </c>
      <c r="D132">
        <v>1500</v>
      </c>
      <c r="E132">
        <v>13</v>
      </c>
      <c r="F132">
        <v>8</v>
      </c>
      <c r="G132">
        <v>12000</v>
      </c>
      <c r="H132">
        <v>19500</v>
      </c>
      <c r="I132">
        <v>7500</v>
      </c>
      <c r="J132">
        <v>38</v>
      </c>
    </row>
    <row r="133" spans="1:10" x14ac:dyDescent="0.3">
      <c r="A133" s="2">
        <v>45586</v>
      </c>
      <c r="B133" t="s">
        <v>24</v>
      </c>
      <c r="C133" t="s">
        <v>36</v>
      </c>
      <c r="D133">
        <v>2000</v>
      </c>
      <c r="E133">
        <v>6</v>
      </c>
      <c r="F133">
        <v>3</v>
      </c>
      <c r="G133">
        <v>6000</v>
      </c>
      <c r="H133">
        <v>12000</v>
      </c>
      <c r="I133">
        <v>6000</v>
      </c>
      <c r="J133">
        <v>50</v>
      </c>
    </row>
    <row r="134" spans="1:10" x14ac:dyDescent="0.3">
      <c r="A134" s="2">
        <v>45587</v>
      </c>
      <c r="B134" t="s">
        <v>24</v>
      </c>
      <c r="C134" t="s">
        <v>39</v>
      </c>
      <c r="D134">
        <v>1000</v>
      </c>
      <c r="E134">
        <v>8</v>
      </c>
      <c r="F134">
        <v>7</v>
      </c>
      <c r="G134">
        <v>7000</v>
      </c>
      <c r="H134">
        <v>8000</v>
      </c>
      <c r="I134">
        <v>1000</v>
      </c>
      <c r="J134">
        <v>12</v>
      </c>
    </row>
    <row r="135" spans="1:10" x14ac:dyDescent="0.3">
      <c r="A135" s="2">
        <v>45587</v>
      </c>
      <c r="B135" t="s">
        <v>24</v>
      </c>
      <c r="C135" t="s">
        <v>30</v>
      </c>
      <c r="D135">
        <v>2500</v>
      </c>
      <c r="E135">
        <v>10</v>
      </c>
      <c r="F135">
        <v>5</v>
      </c>
      <c r="G135">
        <v>12500</v>
      </c>
      <c r="H135">
        <v>25000</v>
      </c>
      <c r="I135">
        <v>12500</v>
      </c>
      <c r="J135">
        <v>50</v>
      </c>
    </row>
    <row r="136" spans="1:10" x14ac:dyDescent="0.3">
      <c r="A136" s="2">
        <v>45587</v>
      </c>
      <c r="B136" t="s">
        <v>24</v>
      </c>
      <c r="C136" t="s">
        <v>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s="2">
        <v>45587</v>
      </c>
      <c r="B137" t="s">
        <v>23</v>
      </c>
      <c r="C137" t="s">
        <v>31</v>
      </c>
      <c r="D137">
        <v>2000</v>
      </c>
      <c r="E137">
        <v>20</v>
      </c>
      <c r="F137">
        <v>12</v>
      </c>
      <c r="G137">
        <v>24000</v>
      </c>
      <c r="H137">
        <v>40000</v>
      </c>
      <c r="I137">
        <v>16000</v>
      </c>
      <c r="J137">
        <v>40</v>
      </c>
    </row>
    <row r="138" spans="1:10" x14ac:dyDescent="0.3">
      <c r="A138" s="2">
        <v>45587</v>
      </c>
      <c r="B138" t="s">
        <v>23</v>
      </c>
      <c r="C138" t="s">
        <v>26</v>
      </c>
      <c r="D138">
        <v>2000</v>
      </c>
      <c r="E138">
        <v>10</v>
      </c>
      <c r="F138">
        <v>8</v>
      </c>
      <c r="G138">
        <v>16000</v>
      </c>
      <c r="H138">
        <v>20000</v>
      </c>
      <c r="I138">
        <v>4000</v>
      </c>
      <c r="J138">
        <v>20</v>
      </c>
    </row>
    <row r="139" spans="1:10" x14ac:dyDescent="0.3">
      <c r="A139" s="2">
        <v>45588</v>
      </c>
      <c r="B139" t="s">
        <v>22</v>
      </c>
      <c r="C139" t="s">
        <v>25</v>
      </c>
      <c r="D139">
        <v>1000</v>
      </c>
      <c r="E139">
        <v>15</v>
      </c>
      <c r="F139">
        <v>12</v>
      </c>
      <c r="G139">
        <v>12000</v>
      </c>
      <c r="H139">
        <v>15000</v>
      </c>
      <c r="I139">
        <v>3000</v>
      </c>
      <c r="J139">
        <v>20</v>
      </c>
    </row>
    <row r="140" spans="1:10" x14ac:dyDescent="0.3">
      <c r="A140" s="2">
        <v>45588</v>
      </c>
      <c r="B140" t="s">
        <v>24</v>
      </c>
      <c r="C140" t="s">
        <v>39</v>
      </c>
      <c r="D140">
        <v>500</v>
      </c>
      <c r="E140">
        <v>13</v>
      </c>
      <c r="F140">
        <v>3</v>
      </c>
      <c r="G140">
        <v>1500</v>
      </c>
      <c r="H140">
        <v>6500</v>
      </c>
      <c r="I140">
        <v>5000</v>
      </c>
      <c r="J140">
        <v>77</v>
      </c>
    </row>
    <row r="141" spans="1:10" x14ac:dyDescent="0.3">
      <c r="A141" s="2">
        <v>45588</v>
      </c>
      <c r="B141" t="s">
        <v>23</v>
      </c>
      <c r="C141" t="s">
        <v>26</v>
      </c>
      <c r="D141">
        <v>500</v>
      </c>
      <c r="E141">
        <v>19</v>
      </c>
      <c r="F141">
        <v>5</v>
      </c>
      <c r="G141">
        <v>2500</v>
      </c>
      <c r="H141">
        <v>9500</v>
      </c>
      <c r="I141">
        <v>7000</v>
      </c>
      <c r="J141">
        <v>74</v>
      </c>
    </row>
    <row r="142" spans="1:10" x14ac:dyDescent="0.3">
      <c r="A142" s="2">
        <v>45588</v>
      </c>
      <c r="B142" t="s">
        <v>22</v>
      </c>
      <c r="C142" t="s">
        <v>37</v>
      </c>
      <c r="D142">
        <v>2500</v>
      </c>
      <c r="E142">
        <v>14</v>
      </c>
      <c r="F142">
        <v>12</v>
      </c>
      <c r="G142">
        <v>30000</v>
      </c>
      <c r="H142">
        <v>35000</v>
      </c>
      <c r="I142">
        <v>5000</v>
      </c>
      <c r="J142">
        <v>14</v>
      </c>
    </row>
    <row r="143" spans="1:10" x14ac:dyDescent="0.3">
      <c r="A143" s="2">
        <v>45588</v>
      </c>
      <c r="B143" t="s">
        <v>23</v>
      </c>
      <c r="C143" t="s">
        <v>31</v>
      </c>
      <c r="D143">
        <v>2500</v>
      </c>
      <c r="E143">
        <v>17</v>
      </c>
      <c r="F143">
        <v>3</v>
      </c>
      <c r="G143">
        <v>7500</v>
      </c>
      <c r="H143">
        <v>42500</v>
      </c>
      <c r="I143">
        <v>35000</v>
      </c>
      <c r="J143">
        <v>82</v>
      </c>
    </row>
    <row r="144" spans="1:10" x14ac:dyDescent="0.3">
      <c r="A144" s="2">
        <v>45588</v>
      </c>
      <c r="B144" t="s">
        <v>22</v>
      </c>
      <c r="C144" t="s">
        <v>34</v>
      </c>
      <c r="D144">
        <v>1000</v>
      </c>
      <c r="E144">
        <v>10</v>
      </c>
      <c r="F144">
        <v>8</v>
      </c>
      <c r="G144">
        <v>8000</v>
      </c>
      <c r="H144">
        <v>10000</v>
      </c>
      <c r="I144">
        <v>2000</v>
      </c>
      <c r="J144">
        <v>20</v>
      </c>
    </row>
    <row r="145" spans="1:10" x14ac:dyDescent="0.3">
      <c r="A145" s="2">
        <v>45589</v>
      </c>
      <c r="B145" t="s">
        <v>22</v>
      </c>
      <c r="C145" t="s">
        <v>33</v>
      </c>
      <c r="D145">
        <v>500</v>
      </c>
      <c r="E145">
        <v>19</v>
      </c>
      <c r="F145">
        <v>8</v>
      </c>
      <c r="G145">
        <v>4000</v>
      </c>
      <c r="H145">
        <v>9500</v>
      </c>
      <c r="I145">
        <v>5500</v>
      </c>
      <c r="J145">
        <v>58</v>
      </c>
    </row>
    <row r="146" spans="1:10" x14ac:dyDescent="0.3">
      <c r="A146" s="2">
        <v>45589</v>
      </c>
      <c r="B146" t="s">
        <v>23</v>
      </c>
      <c r="C146" t="s">
        <v>31</v>
      </c>
      <c r="D146">
        <v>500</v>
      </c>
      <c r="E146">
        <v>18</v>
      </c>
      <c r="F146">
        <v>12</v>
      </c>
      <c r="G146">
        <v>6000</v>
      </c>
      <c r="H146">
        <v>9000</v>
      </c>
      <c r="I146">
        <v>3000</v>
      </c>
      <c r="J146">
        <v>33</v>
      </c>
    </row>
    <row r="147" spans="1:10" x14ac:dyDescent="0.3">
      <c r="A147" s="2">
        <v>45590</v>
      </c>
      <c r="B147" t="s">
        <v>23</v>
      </c>
      <c r="C147" t="s">
        <v>27</v>
      </c>
      <c r="D147">
        <v>500</v>
      </c>
      <c r="E147">
        <v>6</v>
      </c>
      <c r="F147">
        <v>5</v>
      </c>
      <c r="G147">
        <v>2500</v>
      </c>
      <c r="H147">
        <v>3000</v>
      </c>
      <c r="I147">
        <v>500</v>
      </c>
      <c r="J147">
        <v>17</v>
      </c>
    </row>
    <row r="148" spans="1:10" x14ac:dyDescent="0.3">
      <c r="A148" s="2">
        <v>45590</v>
      </c>
      <c r="B148" t="s">
        <v>22</v>
      </c>
      <c r="C148" t="s">
        <v>25</v>
      </c>
      <c r="D148">
        <v>1500</v>
      </c>
      <c r="E148">
        <v>16</v>
      </c>
      <c r="F148">
        <v>11</v>
      </c>
      <c r="G148">
        <v>16500</v>
      </c>
      <c r="H148">
        <v>24000</v>
      </c>
      <c r="I148">
        <v>7500</v>
      </c>
      <c r="J148">
        <v>31</v>
      </c>
    </row>
    <row r="149" spans="1:10" x14ac:dyDescent="0.3">
      <c r="A149" s="2">
        <v>45590</v>
      </c>
      <c r="B149" t="s">
        <v>22</v>
      </c>
      <c r="C149" t="s">
        <v>25</v>
      </c>
      <c r="D149">
        <v>2500</v>
      </c>
      <c r="E149">
        <v>13</v>
      </c>
      <c r="F149">
        <v>4</v>
      </c>
      <c r="G149">
        <v>10000</v>
      </c>
      <c r="H149">
        <v>32500</v>
      </c>
      <c r="I149">
        <v>22500</v>
      </c>
      <c r="J149">
        <v>69</v>
      </c>
    </row>
    <row r="150" spans="1:10" x14ac:dyDescent="0.3">
      <c r="A150" s="2">
        <v>45590</v>
      </c>
      <c r="B150" t="s">
        <v>24</v>
      </c>
      <c r="C150" t="s">
        <v>30</v>
      </c>
      <c r="D150">
        <v>1500</v>
      </c>
      <c r="E150">
        <v>14</v>
      </c>
      <c r="F150">
        <v>7</v>
      </c>
      <c r="G150">
        <v>10500</v>
      </c>
      <c r="H150">
        <v>21000</v>
      </c>
      <c r="I150">
        <v>10500</v>
      </c>
      <c r="J150">
        <v>50</v>
      </c>
    </row>
    <row r="151" spans="1:10" x14ac:dyDescent="0.3">
      <c r="A151" s="2">
        <v>45590</v>
      </c>
      <c r="B151" t="s">
        <v>24</v>
      </c>
      <c r="C151" t="s">
        <v>30</v>
      </c>
      <c r="D151">
        <v>2000</v>
      </c>
      <c r="E151">
        <v>15</v>
      </c>
      <c r="F151">
        <v>14</v>
      </c>
      <c r="G151">
        <v>28000</v>
      </c>
      <c r="H151">
        <v>30000</v>
      </c>
      <c r="I151">
        <v>2000</v>
      </c>
      <c r="J151">
        <v>7</v>
      </c>
    </row>
    <row r="152" spans="1:10" x14ac:dyDescent="0.3">
      <c r="A152" s="2">
        <v>45590</v>
      </c>
      <c r="B152" t="s">
        <v>23</v>
      </c>
      <c r="C152" t="s">
        <v>27</v>
      </c>
      <c r="D152">
        <v>1500</v>
      </c>
      <c r="E152">
        <v>12</v>
      </c>
      <c r="F152">
        <v>4</v>
      </c>
      <c r="G152">
        <v>6000</v>
      </c>
      <c r="H152">
        <v>18000</v>
      </c>
      <c r="I152">
        <v>12000</v>
      </c>
      <c r="J152">
        <v>67</v>
      </c>
    </row>
    <row r="153" spans="1:10" x14ac:dyDescent="0.3">
      <c r="A153" s="2">
        <v>45590</v>
      </c>
      <c r="B153" t="s">
        <v>24</v>
      </c>
      <c r="C153" t="s">
        <v>30</v>
      </c>
      <c r="D153">
        <v>2000</v>
      </c>
      <c r="E153">
        <v>12</v>
      </c>
      <c r="F153">
        <v>10</v>
      </c>
      <c r="G153">
        <v>20000</v>
      </c>
      <c r="H153">
        <v>24000</v>
      </c>
      <c r="I153">
        <v>4000</v>
      </c>
      <c r="J153">
        <v>17</v>
      </c>
    </row>
    <row r="154" spans="1:10" x14ac:dyDescent="0.3">
      <c r="A154" s="2">
        <v>45590</v>
      </c>
      <c r="B154" t="s">
        <v>23</v>
      </c>
      <c r="C154" t="s">
        <v>27</v>
      </c>
      <c r="D154">
        <v>2000</v>
      </c>
      <c r="E154">
        <v>19</v>
      </c>
      <c r="F154">
        <v>16</v>
      </c>
      <c r="G154">
        <v>32000</v>
      </c>
      <c r="H154">
        <v>38000</v>
      </c>
      <c r="I154">
        <v>6000</v>
      </c>
      <c r="J154">
        <v>16</v>
      </c>
    </row>
    <row r="155" spans="1:10" x14ac:dyDescent="0.3">
      <c r="A155" s="2">
        <v>45590</v>
      </c>
      <c r="B155" t="s">
        <v>24</v>
      </c>
      <c r="C155" t="s">
        <v>39</v>
      </c>
      <c r="D155">
        <v>1000</v>
      </c>
      <c r="E155">
        <v>13</v>
      </c>
      <c r="F155">
        <v>8</v>
      </c>
      <c r="G155">
        <v>8000</v>
      </c>
      <c r="H155">
        <v>13000</v>
      </c>
      <c r="I155">
        <v>5000</v>
      </c>
      <c r="J155">
        <v>38</v>
      </c>
    </row>
    <row r="156" spans="1:10" x14ac:dyDescent="0.3">
      <c r="A156" s="2">
        <v>45590</v>
      </c>
      <c r="B156" t="s">
        <v>24</v>
      </c>
      <c r="C156" t="s">
        <v>32</v>
      </c>
      <c r="D156">
        <v>1500</v>
      </c>
      <c r="E156">
        <v>13</v>
      </c>
      <c r="F156">
        <v>3</v>
      </c>
      <c r="G156">
        <v>4500</v>
      </c>
      <c r="H156">
        <v>19500</v>
      </c>
      <c r="I156">
        <v>15000</v>
      </c>
      <c r="J156">
        <v>77</v>
      </c>
    </row>
    <row r="157" spans="1:10" x14ac:dyDescent="0.3">
      <c r="A157" s="2">
        <v>45591</v>
      </c>
      <c r="B157" t="s">
        <v>24</v>
      </c>
      <c r="C157" t="s">
        <v>30</v>
      </c>
      <c r="D157">
        <v>1000</v>
      </c>
      <c r="E157">
        <v>10</v>
      </c>
      <c r="F157">
        <v>7</v>
      </c>
      <c r="G157">
        <v>7000</v>
      </c>
      <c r="H157">
        <v>10000</v>
      </c>
      <c r="I157">
        <v>3000</v>
      </c>
      <c r="J157">
        <v>30</v>
      </c>
    </row>
    <row r="158" spans="1:10" x14ac:dyDescent="0.3">
      <c r="A158" s="2">
        <v>45591</v>
      </c>
      <c r="B158" t="s">
        <v>23</v>
      </c>
      <c r="C158" t="s">
        <v>26</v>
      </c>
      <c r="D158">
        <v>500</v>
      </c>
      <c r="E158">
        <v>16</v>
      </c>
      <c r="F158">
        <v>12</v>
      </c>
      <c r="G158">
        <v>6000</v>
      </c>
      <c r="H158">
        <v>8000</v>
      </c>
      <c r="I158">
        <v>2000</v>
      </c>
      <c r="J158">
        <v>25</v>
      </c>
    </row>
    <row r="159" spans="1:10" x14ac:dyDescent="0.3">
      <c r="A159" s="2">
        <v>45591</v>
      </c>
      <c r="B159" t="s">
        <v>24</v>
      </c>
      <c r="C159" t="s">
        <v>36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s="2">
        <v>45591</v>
      </c>
      <c r="B160" t="s">
        <v>23</v>
      </c>
      <c r="C160" t="s">
        <v>38</v>
      </c>
      <c r="D160">
        <v>500</v>
      </c>
      <c r="E160">
        <v>18</v>
      </c>
      <c r="F160">
        <v>8</v>
      </c>
      <c r="G160">
        <v>4000</v>
      </c>
      <c r="H160">
        <v>9000</v>
      </c>
      <c r="I160">
        <v>5000</v>
      </c>
      <c r="J160">
        <v>56</v>
      </c>
    </row>
    <row r="161" spans="1:10" x14ac:dyDescent="0.3">
      <c r="A161" s="2">
        <v>45591</v>
      </c>
      <c r="B161" t="s">
        <v>24</v>
      </c>
      <c r="C161" t="s">
        <v>32</v>
      </c>
      <c r="D161">
        <v>2500</v>
      </c>
      <c r="E161">
        <v>7</v>
      </c>
      <c r="F161">
        <v>6</v>
      </c>
      <c r="G161">
        <v>15000</v>
      </c>
      <c r="H161">
        <v>17500</v>
      </c>
      <c r="I161">
        <v>2500</v>
      </c>
      <c r="J161">
        <v>14</v>
      </c>
    </row>
    <row r="162" spans="1:10" x14ac:dyDescent="0.3">
      <c r="A162" s="2">
        <v>45592</v>
      </c>
      <c r="B162" t="s">
        <v>24</v>
      </c>
      <c r="C162" t="s">
        <v>39</v>
      </c>
      <c r="D162">
        <v>500</v>
      </c>
      <c r="E162">
        <v>15</v>
      </c>
      <c r="F162">
        <v>7</v>
      </c>
      <c r="G162">
        <v>3500</v>
      </c>
      <c r="H162">
        <v>7500</v>
      </c>
      <c r="I162">
        <v>4000</v>
      </c>
      <c r="J162">
        <v>53</v>
      </c>
    </row>
    <row r="163" spans="1:10" x14ac:dyDescent="0.3">
      <c r="A163" s="2">
        <v>45592</v>
      </c>
      <c r="B163" t="s">
        <v>22</v>
      </c>
      <c r="C163" t="s">
        <v>34</v>
      </c>
      <c r="D163">
        <v>1500</v>
      </c>
      <c r="E163">
        <v>6</v>
      </c>
      <c r="F163">
        <v>4</v>
      </c>
      <c r="G163">
        <v>6000</v>
      </c>
      <c r="H163">
        <v>9000</v>
      </c>
      <c r="I163">
        <v>3000</v>
      </c>
      <c r="J163">
        <v>33</v>
      </c>
    </row>
    <row r="164" spans="1:10" x14ac:dyDescent="0.3">
      <c r="A164" s="2">
        <v>45593</v>
      </c>
      <c r="B164" t="s">
        <v>23</v>
      </c>
      <c r="C164" t="s">
        <v>29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2">
        <v>45593</v>
      </c>
      <c r="B165" t="s">
        <v>23</v>
      </c>
      <c r="C165" t="s">
        <v>29</v>
      </c>
      <c r="D165">
        <v>2000</v>
      </c>
      <c r="E165">
        <v>19</v>
      </c>
      <c r="F165">
        <v>7</v>
      </c>
      <c r="G165">
        <v>14000</v>
      </c>
      <c r="H165">
        <v>38000</v>
      </c>
      <c r="I165">
        <v>24000</v>
      </c>
      <c r="J165">
        <v>63</v>
      </c>
    </row>
    <row r="166" spans="1:10" x14ac:dyDescent="0.3">
      <c r="A166" s="2">
        <v>45593</v>
      </c>
      <c r="B166" t="s">
        <v>24</v>
      </c>
      <c r="C166" t="s">
        <v>30</v>
      </c>
      <c r="D166">
        <v>1500</v>
      </c>
      <c r="E166">
        <v>20</v>
      </c>
      <c r="F166">
        <v>10</v>
      </c>
      <c r="G166">
        <v>15000</v>
      </c>
      <c r="H166">
        <v>30000</v>
      </c>
      <c r="I166">
        <v>15000</v>
      </c>
      <c r="J166">
        <v>50</v>
      </c>
    </row>
    <row r="167" spans="1:10" x14ac:dyDescent="0.3">
      <c r="A167" s="2">
        <v>45593</v>
      </c>
      <c r="B167" t="s">
        <v>22</v>
      </c>
      <c r="C167" t="s">
        <v>33</v>
      </c>
      <c r="D167">
        <v>1000</v>
      </c>
      <c r="E167">
        <v>8</v>
      </c>
      <c r="F167">
        <v>3</v>
      </c>
      <c r="G167">
        <v>3000</v>
      </c>
      <c r="H167">
        <v>8000</v>
      </c>
      <c r="I167">
        <v>5000</v>
      </c>
      <c r="J167">
        <v>62</v>
      </c>
    </row>
    <row r="168" spans="1:10" x14ac:dyDescent="0.3">
      <c r="A168" s="2">
        <v>45593</v>
      </c>
      <c r="B168" t="s">
        <v>22</v>
      </c>
      <c r="C168" t="s">
        <v>25</v>
      </c>
      <c r="D168">
        <v>500</v>
      </c>
      <c r="E168">
        <v>17</v>
      </c>
      <c r="F168">
        <v>15</v>
      </c>
      <c r="G168">
        <v>7500</v>
      </c>
      <c r="H168">
        <v>8500</v>
      </c>
      <c r="I168">
        <v>1000</v>
      </c>
      <c r="J168">
        <v>12</v>
      </c>
    </row>
    <row r="169" spans="1:10" x14ac:dyDescent="0.3">
      <c r="A169" s="2">
        <v>45593</v>
      </c>
      <c r="B169" t="s">
        <v>23</v>
      </c>
      <c r="C169" t="s">
        <v>26</v>
      </c>
      <c r="D169">
        <v>2000</v>
      </c>
      <c r="E169">
        <v>19</v>
      </c>
      <c r="F169">
        <v>9</v>
      </c>
      <c r="G169">
        <v>18000</v>
      </c>
      <c r="H169">
        <v>38000</v>
      </c>
      <c r="I169">
        <v>20000</v>
      </c>
      <c r="J169">
        <v>53</v>
      </c>
    </row>
    <row r="170" spans="1:10" x14ac:dyDescent="0.3">
      <c r="A170" s="2">
        <v>45593</v>
      </c>
      <c r="B170" t="s">
        <v>22</v>
      </c>
      <c r="C170" t="s">
        <v>34</v>
      </c>
      <c r="D170">
        <v>2500</v>
      </c>
      <c r="E170">
        <v>5</v>
      </c>
      <c r="F170">
        <v>3</v>
      </c>
      <c r="G170">
        <v>7500</v>
      </c>
      <c r="H170">
        <v>12500</v>
      </c>
      <c r="I170">
        <v>5000</v>
      </c>
      <c r="J170">
        <v>40</v>
      </c>
    </row>
    <row r="171" spans="1:10" x14ac:dyDescent="0.3">
      <c r="A171" s="2">
        <v>45593</v>
      </c>
      <c r="B171" t="s">
        <v>22</v>
      </c>
      <c r="C171" t="s">
        <v>34</v>
      </c>
      <c r="D171">
        <v>1500</v>
      </c>
      <c r="E171">
        <v>19</v>
      </c>
      <c r="F171">
        <v>12</v>
      </c>
      <c r="G171">
        <v>18000</v>
      </c>
      <c r="H171">
        <v>28500</v>
      </c>
      <c r="I171">
        <v>10500</v>
      </c>
      <c r="J171">
        <v>37</v>
      </c>
    </row>
    <row r="172" spans="1:10" x14ac:dyDescent="0.3">
      <c r="A172" s="2">
        <v>45594</v>
      </c>
      <c r="B172" t="s">
        <v>22</v>
      </c>
      <c r="C172" t="s">
        <v>34</v>
      </c>
      <c r="D172">
        <v>2500</v>
      </c>
      <c r="E172">
        <v>13</v>
      </c>
      <c r="F172">
        <v>6</v>
      </c>
      <c r="G172">
        <v>15000</v>
      </c>
      <c r="H172">
        <v>32500</v>
      </c>
      <c r="I172">
        <v>17500</v>
      </c>
      <c r="J172">
        <v>54</v>
      </c>
    </row>
    <row r="173" spans="1:10" x14ac:dyDescent="0.3">
      <c r="A173" s="2">
        <v>45594</v>
      </c>
      <c r="B173" t="s">
        <v>23</v>
      </c>
      <c r="C173" t="s">
        <v>29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s="2">
        <v>45594</v>
      </c>
      <c r="B174" t="s">
        <v>23</v>
      </c>
      <c r="C174" t="s">
        <v>29</v>
      </c>
      <c r="D174">
        <v>500</v>
      </c>
      <c r="E174">
        <v>19</v>
      </c>
      <c r="F174">
        <v>6</v>
      </c>
      <c r="G174">
        <v>3000</v>
      </c>
      <c r="H174">
        <v>9500</v>
      </c>
      <c r="I174">
        <v>6500</v>
      </c>
      <c r="J174">
        <v>68</v>
      </c>
    </row>
    <row r="175" spans="1:10" x14ac:dyDescent="0.3">
      <c r="A175" s="2">
        <v>45594</v>
      </c>
      <c r="B175" t="s">
        <v>24</v>
      </c>
      <c r="C175" t="s">
        <v>35</v>
      </c>
      <c r="D175">
        <v>2500</v>
      </c>
      <c r="E175">
        <v>18</v>
      </c>
      <c r="F175">
        <v>3</v>
      </c>
      <c r="G175">
        <v>7500</v>
      </c>
      <c r="H175">
        <v>45000</v>
      </c>
      <c r="I175">
        <v>37500</v>
      </c>
      <c r="J175">
        <v>83</v>
      </c>
    </row>
    <row r="176" spans="1:10" x14ac:dyDescent="0.3">
      <c r="A176" s="2">
        <v>45594</v>
      </c>
      <c r="B176" t="s">
        <v>24</v>
      </c>
      <c r="C176" t="s">
        <v>32</v>
      </c>
      <c r="D176">
        <v>1000</v>
      </c>
      <c r="E176">
        <v>7</v>
      </c>
      <c r="F176">
        <v>6</v>
      </c>
      <c r="G176">
        <v>6000</v>
      </c>
      <c r="H176">
        <v>7000</v>
      </c>
      <c r="I176">
        <v>1000</v>
      </c>
      <c r="J176">
        <v>14</v>
      </c>
    </row>
    <row r="177" spans="1:10" x14ac:dyDescent="0.3">
      <c r="A177" s="2">
        <v>45594</v>
      </c>
      <c r="B177" t="s">
        <v>24</v>
      </c>
      <c r="C177" t="s">
        <v>30</v>
      </c>
      <c r="D177">
        <v>2500</v>
      </c>
      <c r="E177">
        <v>7</v>
      </c>
      <c r="F177">
        <v>6</v>
      </c>
      <c r="G177">
        <v>15000</v>
      </c>
      <c r="H177">
        <v>17500</v>
      </c>
      <c r="I177">
        <v>2500</v>
      </c>
      <c r="J177">
        <v>14</v>
      </c>
    </row>
    <row r="178" spans="1:10" x14ac:dyDescent="0.3">
      <c r="A178" s="2">
        <v>45594</v>
      </c>
      <c r="B178" t="s">
        <v>22</v>
      </c>
      <c r="C178" t="s">
        <v>28</v>
      </c>
      <c r="D178">
        <v>500</v>
      </c>
      <c r="E178">
        <v>12</v>
      </c>
      <c r="F178">
        <v>10</v>
      </c>
      <c r="G178">
        <v>5000</v>
      </c>
      <c r="H178">
        <v>6000</v>
      </c>
      <c r="I178">
        <v>1000</v>
      </c>
      <c r="J178">
        <v>17</v>
      </c>
    </row>
    <row r="179" spans="1:10" x14ac:dyDescent="0.3">
      <c r="A179" s="2">
        <v>45595</v>
      </c>
      <c r="B179" t="s">
        <v>24</v>
      </c>
      <c r="C179" t="s">
        <v>39</v>
      </c>
      <c r="D179">
        <v>2000</v>
      </c>
      <c r="E179">
        <v>11</v>
      </c>
      <c r="F179">
        <v>4</v>
      </c>
      <c r="G179">
        <v>8000</v>
      </c>
      <c r="H179">
        <v>22000</v>
      </c>
      <c r="I179">
        <v>14000</v>
      </c>
      <c r="J179">
        <v>64</v>
      </c>
    </row>
    <row r="180" spans="1:10" x14ac:dyDescent="0.3">
      <c r="A180" s="2">
        <v>45595</v>
      </c>
      <c r="B180" t="s">
        <v>22</v>
      </c>
      <c r="C180" t="s">
        <v>28</v>
      </c>
      <c r="D180">
        <v>1000</v>
      </c>
      <c r="E180">
        <v>20</v>
      </c>
      <c r="F180">
        <v>18</v>
      </c>
      <c r="G180">
        <v>18000</v>
      </c>
      <c r="H180">
        <v>20000</v>
      </c>
      <c r="I180">
        <v>2000</v>
      </c>
      <c r="J180">
        <v>10</v>
      </c>
    </row>
    <row r="181" spans="1:10" x14ac:dyDescent="0.3">
      <c r="A181" s="2">
        <v>45595</v>
      </c>
      <c r="B181" t="s">
        <v>23</v>
      </c>
      <c r="C181" t="s">
        <v>26</v>
      </c>
      <c r="D181">
        <v>1000</v>
      </c>
      <c r="E181">
        <v>6</v>
      </c>
      <c r="F181">
        <v>4</v>
      </c>
      <c r="G181">
        <v>4000</v>
      </c>
      <c r="H181">
        <v>6000</v>
      </c>
      <c r="I181">
        <v>2000</v>
      </c>
      <c r="J181">
        <v>33</v>
      </c>
    </row>
    <row r="182" spans="1:10" x14ac:dyDescent="0.3">
      <c r="A182" s="2">
        <v>45595</v>
      </c>
      <c r="B182" t="s">
        <v>24</v>
      </c>
      <c r="C182" t="s">
        <v>35</v>
      </c>
      <c r="D182">
        <v>2500</v>
      </c>
      <c r="E182">
        <v>20</v>
      </c>
      <c r="F182">
        <v>19</v>
      </c>
      <c r="G182">
        <v>47500</v>
      </c>
      <c r="H182">
        <v>50000</v>
      </c>
      <c r="I182">
        <v>2500</v>
      </c>
      <c r="J182">
        <v>5</v>
      </c>
    </row>
    <row r="183" spans="1:10" x14ac:dyDescent="0.3">
      <c r="A183" s="2">
        <v>45595</v>
      </c>
      <c r="B183" t="s">
        <v>23</v>
      </c>
      <c r="C183" t="s">
        <v>27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 s="2">
        <v>45595</v>
      </c>
      <c r="B184" t="s">
        <v>22</v>
      </c>
      <c r="C184" t="s">
        <v>33</v>
      </c>
      <c r="D184">
        <v>2000</v>
      </c>
      <c r="E184">
        <v>18</v>
      </c>
      <c r="F184">
        <v>3</v>
      </c>
      <c r="G184">
        <v>6000</v>
      </c>
      <c r="H184">
        <v>36000</v>
      </c>
      <c r="I184">
        <v>30000</v>
      </c>
      <c r="J184">
        <v>83</v>
      </c>
    </row>
    <row r="185" spans="1:10" x14ac:dyDescent="0.3">
      <c r="A185" s="2">
        <v>45595</v>
      </c>
      <c r="B185" t="s">
        <v>23</v>
      </c>
      <c r="C185" t="s">
        <v>38</v>
      </c>
      <c r="D185">
        <v>2500</v>
      </c>
      <c r="E185">
        <v>14</v>
      </c>
      <c r="F185">
        <v>7</v>
      </c>
      <c r="G185">
        <v>17500</v>
      </c>
      <c r="H185">
        <v>35000</v>
      </c>
      <c r="I185">
        <v>17500</v>
      </c>
      <c r="J185">
        <v>50</v>
      </c>
    </row>
    <row r="186" spans="1:10" x14ac:dyDescent="0.3">
      <c r="A186" s="2">
        <v>45595</v>
      </c>
      <c r="B186" t="s">
        <v>24</v>
      </c>
      <c r="C186" t="s">
        <v>39</v>
      </c>
      <c r="D186">
        <v>1500</v>
      </c>
      <c r="E186">
        <v>17</v>
      </c>
      <c r="F186">
        <v>11</v>
      </c>
      <c r="G186">
        <v>16500</v>
      </c>
      <c r="H186">
        <v>25500</v>
      </c>
      <c r="I186">
        <v>9000</v>
      </c>
      <c r="J186">
        <v>35</v>
      </c>
    </row>
    <row r="187" spans="1:10" x14ac:dyDescent="0.3">
      <c r="A187" s="2">
        <v>45595</v>
      </c>
      <c r="B187" t="s">
        <v>24</v>
      </c>
      <c r="C187" t="s">
        <v>36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 s="2">
        <v>45595</v>
      </c>
      <c r="B188" t="s">
        <v>24</v>
      </c>
      <c r="C188" t="s">
        <v>39</v>
      </c>
      <c r="D188">
        <v>2000</v>
      </c>
      <c r="E188">
        <v>17</v>
      </c>
      <c r="F188">
        <v>9</v>
      </c>
      <c r="G188">
        <v>18000</v>
      </c>
      <c r="H188">
        <v>34000</v>
      </c>
      <c r="I188">
        <v>16000</v>
      </c>
      <c r="J188">
        <v>47</v>
      </c>
    </row>
    <row r="189" spans="1:10" x14ac:dyDescent="0.3">
      <c r="A189" s="2">
        <v>45595</v>
      </c>
      <c r="B189" t="s">
        <v>22</v>
      </c>
      <c r="C189" t="s">
        <v>34</v>
      </c>
      <c r="D189">
        <v>500</v>
      </c>
      <c r="E189">
        <v>20</v>
      </c>
      <c r="F189">
        <v>15</v>
      </c>
      <c r="G189">
        <v>7500</v>
      </c>
      <c r="H189">
        <v>10000</v>
      </c>
      <c r="I189">
        <v>2500</v>
      </c>
      <c r="J189">
        <v>25</v>
      </c>
    </row>
    <row r="190" spans="1:10" x14ac:dyDescent="0.3">
      <c r="A190" s="2">
        <v>45595</v>
      </c>
      <c r="B190" t="s">
        <v>23</v>
      </c>
      <c r="C190" t="s">
        <v>31</v>
      </c>
      <c r="D190">
        <v>2500</v>
      </c>
      <c r="E190">
        <v>13</v>
      </c>
      <c r="F190">
        <v>8</v>
      </c>
      <c r="G190">
        <v>20000</v>
      </c>
      <c r="H190">
        <v>32500</v>
      </c>
      <c r="I190">
        <v>12500</v>
      </c>
      <c r="J190">
        <v>38</v>
      </c>
    </row>
    <row r="191" spans="1:10" x14ac:dyDescent="0.3">
      <c r="A191" s="2">
        <v>45596</v>
      </c>
      <c r="B191" t="s">
        <v>24</v>
      </c>
      <c r="C191" t="s">
        <v>30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s="2">
        <v>45596</v>
      </c>
      <c r="B192" t="s">
        <v>22</v>
      </c>
      <c r="C192" t="s">
        <v>28</v>
      </c>
      <c r="D192">
        <v>1000</v>
      </c>
      <c r="E192">
        <v>8</v>
      </c>
      <c r="F192">
        <v>3</v>
      </c>
      <c r="G192">
        <v>3000</v>
      </c>
      <c r="H192">
        <v>8000</v>
      </c>
      <c r="I192">
        <v>5000</v>
      </c>
      <c r="J192">
        <v>62</v>
      </c>
    </row>
    <row r="193" spans="1:10" x14ac:dyDescent="0.3">
      <c r="A193" s="2">
        <v>45596</v>
      </c>
      <c r="B193" t="s">
        <v>23</v>
      </c>
      <c r="C193" t="s">
        <v>26</v>
      </c>
      <c r="D193">
        <v>1000</v>
      </c>
      <c r="E193">
        <v>12</v>
      </c>
      <c r="F193">
        <v>10</v>
      </c>
      <c r="G193">
        <v>10000</v>
      </c>
      <c r="H193">
        <v>12000</v>
      </c>
      <c r="I193">
        <v>2000</v>
      </c>
      <c r="J193">
        <v>17</v>
      </c>
    </row>
    <row r="194" spans="1:10" x14ac:dyDescent="0.3">
      <c r="A194" s="2">
        <v>45596</v>
      </c>
      <c r="B194" t="s">
        <v>23</v>
      </c>
      <c r="C194" t="s">
        <v>29</v>
      </c>
      <c r="D194">
        <v>1000</v>
      </c>
      <c r="E194">
        <v>17</v>
      </c>
      <c r="F194">
        <v>5</v>
      </c>
      <c r="G194">
        <v>5000</v>
      </c>
      <c r="H194">
        <v>17000</v>
      </c>
      <c r="I194">
        <v>12000</v>
      </c>
      <c r="J194">
        <v>71</v>
      </c>
    </row>
    <row r="195" spans="1:10" x14ac:dyDescent="0.3">
      <c r="A195" s="2">
        <v>45596</v>
      </c>
      <c r="B195" t="s">
        <v>23</v>
      </c>
      <c r="C195" t="s">
        <v>31</v>
      </c>
      <c r="D195">
        <v>2000</v>
      </c>
      <c r="E195">
        <v>11</v>
      </c>
      <c r="F195">
        <v>10</v>
      </c>
      <c r="G195">
        <v>20000</v>
      </c>
      <c r="H195">
        <v>22000</v>
      </c>
      <c r="I195">
        <v>2000</v>
      </c>
      <c r="J195">
        <v>9</v>
      </c>
    </row>
    <row r="196" spans="1:10" x14ac:dyDescent="0.3">
      <c r="A196" s="2">
        <v>45596</v>
      </c>
      <c r="B196" t="s">
        <v>22</v>
      </c>
      <c r="C196" t="s">
        <v>33</v>
      </c>
      <c r="D196">
        <v>1000</v>
      </c>
      <c r="E196">
        <v>14</v>
      </c>
      <c r="F196">
        <v>10</v>
      </c>
      <c r="G196">
        <v>10000</v>
      </c>
      <c r="H196">
        <v>14000</v>
      </c>
      <c r="I196">
        <v>4000</v>
      </c>
      <c r="J196">
        <v>29</v>
      </c>
    </row>
    <row r="197" spans="1:10" x14ac:dyDescent="0.3">
      <c r="A197" s="2">
        <v>45597</v>
      </c>
      <c r="B197" t="s">
        <v>22</v>
      </c>
      <c r="C197" t="s">
        <v>33</v>
      </c>
      <c r="D197">
        <v>1500</v>
      </c>
      <c r="E197">
        <v>6</v>
      </c>
      <c r="F197">
        <v>4</v>
      </c>
      <c r="G197">
        <v>6000</v>
      </c>
      <c r="H197">
        <v>9000</v>
      </c>
      <c r="I197">
        <v>3000</v>
      </c>
      <c r="J197">
        <v>33</v>
      </c>
    </row>
    <row r="198" spans="1:10" x14ac:dyDescent="0.3">
      <c r="A198" s="2">
        <v>45597</v>
      </c>
      <c r="B198" t="s">
        <v>24</v>
      </c>
      <c r="C198" t="s">
        <v>39</v>
      </c>
      <c r="D198">
        <v>2000</v>
      </c>
      <c r="E198">
        <v>5</v>
      </c>
      <c r="F198">
        <v>4</v>
      </c>
      <c r="G198">
        <v>8000</v>
      </c>
      <c r="H198">
        <v>10000</v>
      </c>
      <c r="I198">
        <v>2000</v>
      </c>
      <c r="J198">
        <v>20</v>
      </c>
    </row>
    <row r="199" spans="1:10" x14ac:dyDescent="0.3">
      <c r="A199" s="2">
        <v>45597</v>
      </c>
      <c r="B199" t="s">
        <v>22</v>
      </c>
      <c r="C199" t="s">
        <v>34</v>
      </c>
      <c r="D199">
        <v>2500</v>
      </c>
      <c r="E199">
        <v>18</v>
      </c>
      <c r="F199">
        <v>7</v>
      </c>
      <c r="G199">
        <v>17500</v>
      </c>
      <c r="H199">
        <v>45000</v>
      </c>
      <c r="I199">
        <v>27500</v>
      </c>
      <c r="J199">
        <v>61</v>
      </c>
    </row>
    <row r="200" spans="1:10" x14ac:dyDescent="0.3">
      <c r="A200" s="2">
        <v>45597</v>
      </c>
      <c r="B200" t="s">
        <v>22</v>
      </c>
      <c r="C200" t="s">
        <v>37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2">
        <v>45597</v>
      </c>
      <c r="B201" t="s">
        <v>22</v>
      </c>
      <c r="C201" t="s">
        <v>37</v>
      </c>
      <c r="D201">
        <v>1500</v>
      </c>
      <c r="E201">
        <v>19</v>
      </c>
      <c r="F201">
        <v>9</v>
      </c>
      <c r="G201">
        <v>13500</v>
      </c>
      <c r="H201">
        <v>28500</v>
      </c>
      <c r="I201">
        <v>15000</v>
      </c>
      <c r="J201">
        <v>53</v>
      </c>
    </row>
    <row r="202" spans="1:10" x14ac:dyDescent="0.3">
      <c r="A202" s="2">
        <v>45597</v>
      </c>
      <c r="B202" t="s">
        <v>22</v>
      </c>
      <c r="C202" t="s">
        <v>25</v>
      </c>
      <c r="D202">
        <v>1500</v>
      </c>
      <c r="E202">
        <v>8</v>
      </c>
      <c r="F202">
        <v>4</v>
      </c>
      <c r="G202">
        <v>6000</v>
      </c>
      <c r="H202">
        <v>12000</v>
      </c>
      <c r="I202">
        <v>6000</v>
      </c>
      <c r="J202">
        <v>50</v>
      </c>
    </row>
    <row r="203" spans="1:10" x14ac:dyDescent="0.3">
      <c r="A203" s="2">
        <v>45597</v>
      </c>
      <c r="B203" t="s">
        <v>23</v>
      </c>
      <c r="C203" t="s">
        <v>38</v>
      </c>
      <c r="D203">
        <v>1500</v>
      </c>
      <c r="E203">
        <v>20</v>
      </c>
      <c r="F203">
        <v>10</v>
      </c>
      <c r="G203">
        <v>15000</v>
      </c>
      <c r="H203">
        <v>30000</v>
      </c>
      <c r="I203">
        <v>15000</v>
      </c>
      <c r="J203">
        <v>50</v>
      </c>
    </row>
    <row r="204" spans="1:10" x14ac:dyDescent="0.3">
      <c r="A204" s="2">
        <v>45598</v>
      </c>
      <c r="B204" t="s">
        <v>24</v>
      </c>
      <c r="C204" t="s">
        <v>30</v>
      </c>
      <c r="D204">
        <v>2000</v>
      </c>
      <c r="E204">
        <v>20</v>
      </c>
      <c r="F204">
        <v>17</v>
      </c>
      <c r="G204">
        <v>34000</v>
      </c>
      <c r="H204">
        <v>40000</v>
      </c>
      <c r="I204">
        <v>6000</v>
      </c>
      <c r="J204">
        <v>15</v>
      </c>
    </row>
    <row r="205" spans="1:10" x14ac:dyDescent="0.3">
      <c r="A205" s="2">
        <v>45598</v>
      </c>
      <c r="B205" t="s">
        <v>24</v>
      </c>
      <c r="C205" t="s">
        <v>35</v>
      </c>
      <c r="D205">
        <v>2000</v>
      </c>
      <c r="E205">
        <v>5</v>
      </c>
      <c r="F205">
        <v>4</v>
      </c>
      <c r="G205">
        <v>8000</v>
      </c>
      <c r="H205">
        <v>10000</v>
      </c>
      <c r="I205">
        <v>2000</v>
      </c>
      <c r="J205">
        <v>20</v>
      </c>
    </row>
    <row r="206" spans="1:10" x14ac:dyDescent="0.3">
      <c r="A206" s="2">
        <v>45599</v>
      </c>
      <c r="B206" t="s">
        <v>23</v>
      </c>
      <c r="C206" t="s">
        <v>31</v>
      </c>
      <c r="D206">
        <v>2000</v>
      </c>
      <c r="E206">
        <v>5</v>
      </c>
      <c r="F206">
        <v>3</v>
      </c>
      <c r="G206">
        <v>6000</v>
      </c>
      <c r="H206">
        <v>10000</v>
      </c>
      <c r="I206">
        <v>4000</v>
      </c>
      <c r="J206">
        <v>40</v>
      </c>
    </row>
    <row r="207" spans="1:10" x14ac:dyDescent="0.3">
      <c r="A207" s="2">
        <v>45599</v>
      </c>
      <c r="B207" t="s">
        <v>23</v>
      </c>
      <c r="C207" t="s">
        <v>27</v>
      </c>
      <c r="D207">
        <v>1000</v>
      </c>
      <c r="E207">
        <v>7</v>
      </c>
      <c r="F207">
        <v>4</v>
      </c>
      <c r="G207">
        <v>4000</v>
      </c>
      <c r="H207">
        <v>7000</v>
      </c>
      <c r="I207">
        <v>3000</v>
      </c>
      <c r="J207">
        <v>43</v>
      </c>
    </row>
    <row r="208" spans="1:10" x14ac:dyDescent="0.3">
      <c r="A208" s="2">
        <v>45599</v>
      </c>
      <c r="B208" t="s">
        <v>23</v>
      </c>
      <c r="C208" t="s">
        <v>27</v>
      </c>
      <c r="D208">
        <v>1500</v>
      </c>
      <c r="E208">
        <v>20</v>
      </c>
      <c r="F208">
        <v>12</v>
      </c>
      <c r="G208">
        <v>18000</v>
      </c>
      <c r="H208">
        <v>30000</v>
      </c>
      <c r="I208">
        <v>12000</v>
      </c>
      <c r="J208">
        <v>40</v>
      </c>
    </row>
    <row r="209" spans="1:10" x14ac:dyDescent="0.3">
      <c r="A209" s="2">
        <v>45599</v>
      </c>
      <c r="B209" t="s">
        <v>23</v>
      </c>
      <c r="C209" t="s">
        <v>27</v>
      </c>
      <c r="D209">
        <v>2500</v>
      </c>
      <c r="E209">
        <v>9</v>
      </c>
      <c r="F209">
        <v>5</v>
      </c>
      <c r="G209">
        <v>12500</v>
      </c>
      <c r="H209">
        <v>22500</v>
      </c>
      <c r="I209">
        <v>10000</v>
      </c>
      <c r="J209">
        <v>44</v>
      </c>
    </row>
    <row r="210" spans="1:10" x14ac:dyDescent="0.3">
      <c r="A210" s="2">
        <v>45599</v>
      </c>
      <c r="B210" t="s">
        <v>24</v>
      </c>
      <c r="C210" t="s">
        <v>32</v>
      </c>
      <c r="D210">
        <v>2000</v>
      </c>
      <c r="E210">
        <v>6</v>
      </c>
      <c r="F210">
        <v>4</v>
      </c>
      <c r="G210">
        <v>8000</v>
      </c>
      <c r="H210">
        <v>12000</v>
      </c>
      <c r="I210">
        <v>4000</v>
      </c>
      <c r="J210">
        <v>33</v>
      </c>
    </row>
    <row r="211" spans="1:10" x14ac:dyDescent="0.3">
      <c r="A211" s="2">
        <v>45599</v>
      </c>
      <c r="B211" t="s">
        <v>23</v>
      </c>
      <c r="C211" t="s">
        <v>27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s="2">
        <v>45599</v>
      </c>
      <c r="B212" t="s">
        <v>22</v>
      </c>
      <c r="C212" t="s">
        <v>28</v>
      </c>
      <c r="D212">
        <v>2500</v>
      </c>
      <c r="E212">
        <v>16</v>
      </c>
      <c r="F212">
        <v>9</v>
      </c>
      <c r="G212">
        <v>22500</v>
      </c>
      <c r="H212">
        <v>40000</v>
      </c>
      <c r="I212">
        <v>17500</v>
      </c>
      <c r="J212">
        <v>44</v>
      </c>
    </row>
    <row r="213" spans="1:10" x14ac:dyDescent="0.3">
      <c r="A213" s="2">
        <v>45599</v>
      </c>
      <c r="B213" t="s">
        <v>22</v>
      </c>
      <c r="C213" t="s">
        <v>25</v>
      </c>
      <c r="D213">
        <v>2500</v>
      </c>
      <c r="E213">
        <v>10</v>
      </c>
      <c r="F213">
        <v>7</v>
      </c>
      <c r="G213">
        <v>17500</v>
      </c>
      <c r="H213">
        <v>25000</v>
      </c>
      <c r="I213">
        <v>7500</v>
      </c>
      <c r="J213">
        <v>30</v>
      </c>
    </row>
    <row r="214" spans="1:10" x14ac:dyDescent="0.3">
      <c r="A214" s="2">
        <v>45599</v>
      </c>
      <c r="B214" t="s">
        <v>22</v>
      </c>
      <c r="C214" t="s">
        <v>28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2">
        <v>45599</v>
      </c>
      <c r="B215" t="s">
        <v>22</v>
      </c>
      <c r="C215" t="s">
        <v>25</v>
      </c>
      <c r="D215">
        <v>2000</v>
      </c>
      <c r="E215">
        <v>18</v>
      </c>
      <c r="F215">
        <v>9</v>
      </c>
      <c r="G215">
        <v>18000</v>
      </c>
      <c r="H215">
        <v>36000</v>
      </c>
      <c r="I215">
        <v>18000</v>
      </c>
      <c r="J215">
        <v>50</v>
      </c>
    </row>
    <row r="216" spans="1:10" x14ac:dyDescent="0.3">
      <c r="A216" s="2">
        <v>45600</v>
      </c>
      <c r="B216" t="s">
        <v>23</v>
      </c>
      <c r="C216" t="s">
        <v>27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2">
        <v>45600</v>
      </c>
      <c r="B217" t="s">
        <v>24</v>
      </c>
      <c r="C217" t="s">
        <v>32</v>
      </c>
      <c r="D217">
        <v>1500</v>
      </c>
      <c r="E217">
        <v>8</v>
      </c>
      <c r="F217">
        <v>6</v>
      </c>
      <c r="G217">
        <v>9000</v>
      </c>
      <c r="H217">
        <v>12000</v>
      </c>
      <c r="I217">
        <v>3000</v>
      </c>
      <c r="J217">
        <v>25</v>
      </c>
    </row>
    <row r="218" spans="1:10" x14ac:dyDescent="0.3">
      <c r="A218" s="2">
        <v>45600</v>
      </c>
      <c r="B218" t="s">
        <v>22</v>
      </c>
      <c r="C218" t="s">
        <v>37</v>
      </c>
      <c r="D218">
        <v>1500</v>
      </c>
      <c r="E218">
        <v>10</v>
      </c>
      <c r="F218">
        <v>8</v>
      </c>
      <c r="G218">
        <v>12000</v>
      </c>
      <c r="H218">
        <v>15000</v>
      </c>
      <c r="I218">
        <v>3000</v>
      </c>
      <c r="J218">
        <v>20</v>
      </c>
    </row>
    <row r="219" spans="1:10" x14ac:dyDescent="0.3">
      <c r="A219" s="2">
        <v>45600</v>
      </c>
      <c r="B219" t="s">
        <v>23</v>
      </c>
      <c r="C219" t="s">
        <v>27</v>
      </c>
      <c r="D219">
        <v>2500</v>
      </c>
      <c r="E219">
        <v>7</v>
      </c>
      <c r="F219">
        <v>3</v>
      </c>
      <c r="G219">
        <v>7500</v>
      </c>
      <c r="H219">
        <v>17500</v>
      </c>
      <c r="I219">
        <v>10000</v>
      </c>
      <c r="J219">
        <v>57</v>
      </c>
    </row>
    <row r="220" spans="1:10" x14ac:dyDescent="0.3">
      <c r="A220" s="2">
        <v>45600</v>
      </c>
      <c r="B220" t="s">
        <v>23</v>
      </c>
      <c r="C220" t="s">
        <v>29</v>
      </c>
      <c r="D220">
        <v>1000</v>
      </c>
      <c r="E220">
        <v>10</v>
      </c>
      <c r="F220">
        <v>7</v>
      </c>
      <c r="G220">
        <v>7000</v>
      </c>
      <c r="H220">
        <v>10000</v>
      </c>
      <c r="I220">
        <v>3000</v>
      </c>
      <c r="J220">
        <v>30</v>
      </c>
    </row>
    <row r="221" spans="1:10" x14ac:dyDescent="0.3">
      <c r="A221" s="2">
        <v>45600</v>
      </c>
      <c r="B221" t="s">
        <v>24</v>
      </c>
      <c r="C221" t="s">
        <v>39</v>
      </c>
      <c r="D221">
        <v>1500</v>
      </c>
      <c r="E221">
        <v>9</v>
      </c>
      <c r="F221">
        <v>8</v>
      </c>
      <c r="G221">
        <v>12000</v>
      </c>
      <c r="H221">
        <v>13500</v>
      </c>
      <c r="I221">
        <v>1500</v>
      </c>
      <c r="J221">
        <v>11</v>
      </c>
    </row>
    <row r="222" spans="1:10" x14ac:dyDescent="0.3">
      <c r="A222" s="2">
        <v>45600</v>
      </c>
      <c r="B222" t="s">
        <v>24</v>
      </c>
      <c r="C222" t="s">
        <v>32</v>
      </c>
      <c r="D222">
        <v>1500</v>
      </c>
      <c r="E222">
        <v>16</v>
      </c>
      <c r="F222">
        <v>8</v>
      </c>
      <c r="G222">
        <v>12000</v>
      </c>
      <c r="H222">
        <v>24000</v>
      </c>
      <c r="I222">
        <v>12000</v>
      </c>
      <c r="J222">
        <v>50</v>
      </c>
    </row>
    <row r="223" spans="1:10" x14ac:dyDescent="0.3">
      <c r="A223" s="2">
        <v>45600</v>
      </c>
      <c r="B223" t="s">
        <v>24</v>
      </c>
      <c r="C223" t="s">
        <v>32</v>
      </c>
      <c r="D223">
        <v>1000</v>
      </c>
      <c r="E223">
        <v>10</v>
      </c>
      <c r="F223">
        <v>4</v>
      </c>
      <c r="G223">
        <v>4000</v>
      </c>
      <c r="H223">
        <v>10000</v>
      </c>
      <c r="I223">
        <v>6000</v>
      </c>
      <c r="J223">
        <v>60</v>
      </c>
    </row>
    <row r="224" spans="1:10" x14ac:dyDescent="0.3">
      <c r="A224" s="2">
        <v>45600</v>
      </c>
      <c r="B224" t="s">
        <v>24</v>
      </c>
      <c r="C224" t="s">
        <v>30</v>
      </c>
      <c r="D224">
        <v>2000</v>
      </c>
      <c r="E224">
        <v>13</v>
      </c>
      <c r="F224">
        <v>10</v>
      </c>
      <c r="G224">
        <v>20000</v>
      </c>
      <c r="H224">
        <v>26000</v>
      </c>
      <c r="I224">
        <v>6000</v>
      </c>
      <c r="J224">
        <v>23</v>
      </c>
    </row>
    <row r="225" spans="1:10" x14ac:dyDescent="0.3">
      <c r="A225" s="2">
        <v>45600</v>
      </c>
      <c r="B225" t="s">
        <v>24</v>
      </c>
      <c r="C225" t="s">
        <v>32</v>
      </c>
      <c r="D225">
        <v>500</v>
      </c>
      <c r="E225">
        <v>16</v>
      </c>
      <c r="F225">
        <v>12</v>
      </c>
      <c r="G225">
        <v>6000</v>
      </c>
      <c r="H225">
        <v>8000</v>
      </c>
      <c r="I225">
        <v>2000</v>
      </c>
      <c r="J225">
        <v>25</v>
      </c>
    </row>
    <row r="226" spans="1:10" x14ac:dyDescent="0.3">
      <c r="A226" s="2">
        <v>45601</v>
      </c>
      <c r="B226" t="s">
        <v>22</v>
      </c>
      <c r="C226" t="s">
        <v>28</v>
      </c>
      <c r="D226">
        <v>2000</v>
      </c>
      <c r="E226">
        <v>17</v>
      </c>
      <c r="F226">
        <v>4</v>
      </c>
      <c r="G226">
        <v>8000</v>
      </c>
      <c r="H226">
        <v>34000</v>
      </c>
      <c r="I226">
        <v>26000</v>
      </c>
      <c r="J226">
        <v>76</v>
      </c>
    </row>
    <row r="227" spans="1:10" x14ac:dyDescent="0.3">
      <c r="A227" s="2">
        <v>45601</v>
      </c>
      <c r="B227" t="s">
        <v>24</v>
      </c>
      <c r="C227" t="s">
        <v>30</v>
      </c>
      <c r="D227">
        <v>1500</v>
      </c>
      <c r="E227">
        <v>8</v>
      </c>
      <c r="F227">
        <v>3</v>
      </c>
      <c r="G227">
        <v>4500</v>
      </c>
      <c r="H227">
        <v>12000</v>
      </c>
      <c r="I227">
        <v>7500</v>
      </c>
      <c r="J227">
        <v>62</v>
      </c>
    </row>
    <row r="228" spans="1:10" x14ac:dyDescent="0.3">
      <c r="A228" s="2">
        <v>45601</v>
      </c>
      <c r="B228" t="s">
        <v>23</v>
      </c>
      <c r="C228" t="s">
        <v>31</v>
      </c>
      <c r="D228">
        <v>1500</v>
      </c>
      <c r="E228">
        <v>16</v>
      </c>
      <c r="F228">
        <v>8</v>
      </c>
      <c r="G228">
        <v>12000</v>
      </c>
      <c r="H228">
        <v>24000</v>
      </c>
      <c r="I228">
        <v>12000</v>
      </c>
      <c r="J228">
        <v>50</v>
      </c>
    </row>
    <row r="229" spans="1:10" x14ac:dyDescent="0.3">
      <c r="A229" s="2">
        <v>45601</v>
      </c>
      <c r="B229" t="s">
        <v>24</v>
      </c>
      <c r="C229" t="s">
        <v>39</v>
      </c>
      <c r="D229">
        <v>2500</v>
      </c>
      <c r="E229">
        <v>13</v>
      </c>
      <c r="F229">
        <v>7</v>
      </c>
      <c r="G229">
        <v>17500</v>
      </c>
      <c r="H229">
        <v>32500</v>
      </c>
      <c r="I229">
        <v>15000</v>
      </c>
      <c r="J229">
        <v>46</v>
      </c>
    </row>
    <row r="230" spans="1:10" x14ac:dyDescent="0.3">
      <c r="A230" s="2">
        <v>45601</v>
      </c>
      <c r="B230" t="s">
        <v>23</v>
      </c>
      <c r="C230" t="s">
        <v>38</v>
      </c>
      <c r="D230">
        <v>2000</v>
      </c>
      <c r="E230">
        <v>13</v>
      </c>
      <c r="F230">
        <v>12</v>
      </c>
      <c r="G230">
        <v>24000</v>
      </c>
      <c r="H230">
        <v>26000</v>
      </c>
      <c r="I230">
        <v>2000</v>
      </c>
      <c r="J230">
        <v>8</v>
      </c>
    </row>
    <row r="231" spans="1:10" x14ac:dyDescent="0.3">
      <c r="A231" s="2">
        <v>45601</v>
      </c>
      <c r="B231" t="s">
        <v>23</v>
      </c>
      <c r="C231" t="s">
        <v>29</v>
      </c>
      <c r="D231">
        <v>1500</v>
      </c>
      <c r="E231">
        <v>18</v>
      </c>
      <c r="F231">
        <v>3</v>
      </c>
      <c r="G231">
        <v>4500</v>
      </c>
      <c r="H231">
        <v>27000</v>
      </c>
      <c r="I231">
        <v>22500</v>
      </c>
      <c r="J231">
        <v>83</v>
      </c>
    </row>
    <row r="232" spans="1:10" x14ac:dyDescent="0.3">
      <c r="A232" s="2">
        <v>45601</v>
      </c>
      <c r="B232" t="s">
        <v>24</v>
      </c>
      <c r="C232" t="s">
        <v>32</v>
      </c>
      <c r="D232">
        <v>1000</v>
      </c>
      <c r="E232">
        <v>11</v>
      </c>
      <c r="F232">
        <v>10</v>
      </c>
      <c r="G232">
        <v>10000</v>
      </c>
      <c r="H232">
        <v>11000</v>
      </c>
      <c r="I232">
        <v>1000</v>
      </c>
      <c r="J232">
        <v>9</v>
      </c>
    </row>
    <row r="233" spans="1:10" x14ac:dyDescent="0.3">
      <c r="A233" s="2">
        <v>45601</v>
      </c>
      <c r="B233" t="s">
        <v>24</v>
      </c>
      <c r="C233" t="s">
        <v>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s="2">
        <v>45602</v>
      </c>
      <c r="B234" t="s">
        <v>23</v>
      </c>
      <c r="C234" t="s">
        <v>27</v>
      </c>
      <c r="D234">
        <v>1000</v>
      </c>
      <c r="E234">
        <v>9</v>
      </c>
      <c r="F234">
        <v>7</v>
      </c>
      <c r="G234">
        <v>7000</v>
      </c>
      <c r="H234">
        <v>9000</v>
      </c>
      <c r="I234">
        <v>2000</v>
      </c>
      <c r="J234">
        <v>22</v>
      </c>
    </row>
    <row r="235" spans="1:10" x14ac:dyDescent="0.3">
      <c r="A235" s="2">
        <v>45602</v>
      </c>
      <c r="B235" t="s">
        <v>24</v>
      </c>
      <c r="C235" t="s">
        <v>30</v>
      </c>
      <c r="D235">
        <v>2500</v>
      </c>
      <c r="E235">
        <v>8</v>
      </c>
      <c r="F235">
        <v>4</v>
      </c>
      <c r="G235">
        <v>10000</v>
      </c>
      <c r="H235">
        <v>20000</v>
      </c>
      <c r="I235">
        <v>10000</v>
      </c>
      <c r="J235">
        <v>50</v>
      </c>
    </row>
    <row r="236" spans="1:10" x14ac:dyDescent="0.3">
      <c r="A236" s="2">
        <v>45602</v>
      </c>
      <c r="B236" t="s">
        <v>23</v>
      </c>
      <c r="C236" t="s">
        <v>31</v>
      </c>
      <c r="D236">
        <v>1500</v>
      </c>
      <c r="E236">
        <v>20</v>
      </c>
      <c r="F236">
        <v>14</v>
      </c>
      <c r="G236">
        <v>21000</v>
      </c>
      <c r="H236">
        <v>30000</v>
      </c>
      <c r="I236">
        <v>9000</v>
      </c>
      <c r="J236">
        <v>30</v>
      </c>
    </row>
    <row r="237" spans="1:10" x14ac:dyDescent="0.3">
      <c r="A237" s="2">
        <v>45602</v>
      </c>
      <c r="B237" t="s">
        <v>22</v>
      </c>
      <c r="C237" t="s">
        <v>28</v>
      </c>
      <c r="D237">
        <v>1500</v>
      </c>
      <c r="E237">
        <v>18</v>
      </c>
      <c r="F237">
        <v>7</v>
      </c>
      <c r="G237">
        <v>10500</v>
      </c>
      <c r="H237">
        <v>27000</v>
      </c>
      <c r="I237">
        <v>16500</v>
      </c>
      <c r="J237">
        <v>61</v>
      </c>
    </row>
    <row r="238" spans="1:10" x14ac:dyDescent="0.3">
      <c r="A238" s="2">
        <v>45602</v>
      </c>
      <c r="B238" t="s">
        <v>22</v>
      </c>
      <c r="C238" t="s">
        <v>34</v>
      </c>
      <c r="D238">
        <v>1000</v>
      </c>
      <c r="E238">
        <v>8</v>
      </c>
      <c r="F238">
        <v>3</v>
      </c>
      <c r="G238">
        <v>3000</v>
      </c>
      <c r="H238">
        <v>8000</v>
      </c>
      <c r="I238">
        <v>5000</v>
      </c>
      <c r="J238">
        <v>62</v>
      </c>
    </row>
    <row r="239" spans="1:10" x14ac:dyDescent="0.3">
      <c r="A239" s="2">
        <v>45602</v>
      </c>
      <c r="B239" t="s">
        <v>24</v>
      </c>
      <c r="C239" t="s">
        <v>39</v>
      </c>
      <c r="D239">
        <v>2500</v>
      </c>
      <c r="E239">
        <v>17</v>
      </c>
      <c r="F239">
        <v>13</v>
      </c>
      <c r="G239">
        <v>32500</v>
      </c>
      <c r="H239">
        <v>42500</v>
      </c>
      <c r="I239">
        <v>10000</v>
      </c>
      <c r="J239">
        <v>24</v>
      </c>
    </row>
    <row r="240" spans="1:10" x14ac:dyDescent="0.3">
      <c r="A240" s="2">
        <v>45603</v>
      </c>
      <c r="B240" t="s">
        <v>22</v>
      </c>
      <c r="C240" t="s">
        <v>28</v>
      </c>
      <c r="D240">
        <v>2500</v>
      </c>
      <c r="E240">
        <v>20</v>
      </c>
      <c r="F240">
        <v>13</v>
      </c>
      <c r="G240">
        <v>32500</v>
      </c>
      <c r="H240">
        <v>50000</v>
      </c>
      <c r="I240">
        <v>17500</v>
      </c>
      <c r="J240">
        <v>35</v>
      </c>
    </row>
    <row r="241" spans="1:10" x14ac:dyDescent="0.3">
      <c r="A241" s="2">
        <v>45603</v>
      </c>
      <c r="B241" t="s">
        <v>24</v>
      </c>
      <c r="C241" t="s">
        <v>39</v>
      </c>
      <c r="D241">
        <v>1000</v>
      </c>
      <c r="E241">
        <v>8</v>
      </c>
      <c r="F241">
        <v>5</v>
      </c>
      <c r="G241">
        <v>5000</v>
      </c>
      <c r="H241">
        <v>8000</v>
      </c>
      <c r="I241">
        <v>3000</v>
      </c>
      <c r="J241">
        <v>38</v>
      </c>
    </row>
    <row r="242" spans="1:10" x14ac:dyDescent="0.3">
      <c r="A242" s="2">
        <v>45603</v>
      </c>
      <c r="B242" t="s">
        <v>23</v>
      </c>
      <c r="C242" t="s">
        <v>29</v>
      </c>
      <c r="D242">
        <v>500</v>
      </c>
      <c r="E242">
        <v>20</v>
      </c>
      <c r="F242">
        <v>17</v>
      </c>
      <c r="G242">
        <v>8500</v>
      </c>
      <c r="H242">
        <v>10000</v>
      </c>
      <c r="I242">
        <v>1500</v>
      </c>
      <c r="J242">
        <v>15</v>
      </c>
    </row>
    <row r="243" spans="1:10" x14ac:dyDescent="0.3">
      <c r="A243" s="2">
        <v>45603</v>
      </c>
      <c r="B243" t="s">
        <v>22</v>
      </c>
      <c r="C243" t="s">
        <v>34</v>
      </c>
      <c r="D243">
        <v>500</v>
      </c>
      <c r="E243">
        <v>19</v>
      </c>
      <c r="F243">
        <v>3</v>
      </c>
      <c r="G243">
        <v>1500</v>
      </c>
      <c r="H243">
        <v>9500</v>
      </c>
      <c r="I243">
        <v>8000</v>
      </c>
      <c r="J243">
        <v>84</v>
      </c>
    </row>
    <row r="244" spans="1:10" x14ac:dyDescent="0.3">
      <c r="A244" s="2">
        <v>45603</v>
      </c>
      <c r="B244" t="s">
        <v>24</v>
      </c>
      <c r="C244" t="s">
        <v>32</v>
      </c>
      <c r="D244">
        <v>1000</v>
      </c>
      <c r="E244">
        <v>19</v>
      </c>
      <c r="F244">
        <v>4</v>
      </c>
      <c r="G244">
        <v>4000</v>
      </c>
      <c r="H244">
        <v>19000</v>
      </c>
      <c r="I244">
        <v>15000</v>
      </c>
      <c r="J244">
        <v>79</v>
      </c>
    </row>
    <row r="245" spans="1:10" x14ac:dyDescent="0.3">
      <c r="A245" s="2">
        <v>45603</v>
      </c>
      <c r="B245" t="s">
        <v>24</v>
      </c>
      <c r="C245" t="s">
        <v>35</v>
      </c>
      <c r="D245">
        <v>2500</v>
      </c>
      <c r="E245">
        <v>9</v>
      </c>
      <c r="F245">
        <v>5</v>
      </c>
      <c r="G245">
        <v>12500</v>
      </c>
      <c r="H245">
        <v>22500</v>
      </c>
      <c r="I245">
        <v>10000</v>
      </c>
      <c r="J245">
        <v>44</v>
      </c>
    </row>
    <row r="246" spans="1:10" x14ac:dyDescent="0.3">
      <c r="A246" s="2">
        <v>45603</v>
      </c>
      <c r="B246" t="s">
        <v>22</v>
      </c>
      <c r="C246" t="s">
        <v>25</v>
      </c>
      <c r="D246">
        <v>1500</v>
      </c>
      <c r="E246">
        <v>9</v>
      </c>
      <c r="F246">
        <v>8</v>
      </c>
      <c r="G246">
        <v>12000</v>
      </c>
      <c r="H246">
        <v>13500</v>
      </c>
      <c r="I246">
        <v>1500</v>
      </c>
      <c r="J246">
        <v>11</v>
      </c>
    </row>
    <row r="247" spans="1:10" x14ac:dyDescent="0.3">
      <c r="A247" s="2">
        <v>45604</v>
      </c>
      <c r="B247" t="s">
        <v>23</v>
      </c>
      <c r="C247" t="s">
        <v>26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s="2">
        <v>45604</v>
      </c>
      <c r="B248" t="s">
        <v>24</v>
      </c>
      <c r="C248" t="s">
        <v>30</v>
      </c>
      <c r="D248">
        <v>1500</v>
      </c>
      <c r="E248">
        <v>6</v>
      </c>
      <c r="F248">
        <v>4</v>
      </c>
      <c r="G248">
        <v>6000</v>
      </c>
      <c r="H248">
        <v>9000</v>
      </c>
      <c r="I248">
        <v>3000</v>
      </c>
      <c r="J248">
        <v>33</v>
      </c>
    </row>
    <row r="249" spans="1:10" x14ac:dyDescent="0.3">
      <c r="A249" s="2">
        <v>45604</v>
      </c>
      <c r="B249" t="s">
        <v>22</v>
      </c>
      <c r="C249" t="s">
        <v>34</v>
      </c>
      <c r="D249">
        <v>1000</v>
      </c>
      <c r="E249">
        <v>18</v>
      </c>
      <c r="F249">
        <v>7</v>
      </c>
      <c r="G249">
        <v>7000</v>
      </c>
      <c r="H249">
        <v>18000</v>
      </c>
      <c r="I249">
        <v>11000</v>
      </c>
      <c r="J249">
        <v>61</v>
      </c>
    </row>
    <row r="250" spans="1:10" x14ac:dyDescent="0.3">
      <c r="A250" s="2">
        <v>45604</v>
      </c>
      <c r="B250" t="s">
        <v>22</v>
      </c>
      <c r="C250" t="s">
        <v>37</v>
      </c>
      <c r="D250">
        <v>500</v>
      </c>
      <c r="E250">
        <v>9</v>
      </c>
      <c r="F250">
        <v>8</v>
      </c>
      <c r="G250">
        <v>4000</v>
      </c>
      <c r="H250">
        <v>4500</v>
      </c>
      <c r="I250">
        <v>500</v>
      </c>
      <c r="J250">
        <v>11</v>
      </c>
    </row>
    <row r="251" spans="1:10" x14ac:dyDescent="0.3">
      <c r="A251" s="2">
        <v>45604</v>
      </c>
      <c r="B251" t="s">
        <v>22</v>
      </c>
      <c r="C251" t="s">
        <v>37</v>
      </c>
      <c r="D251">
        <v>500</v>
      </c>
      <c r="E251">
        <v>20</v>
      </c>
      <c r="F251">
        <v>18</v>
      </c>
      <c r="G251">
        <v>9000</v>
      </c>
      <c r="H251">
        <v>10000</v>
      </c>
      <c r="I251">
        <v>1000</v>
      </c>
      <c r="J251">
        <v>10</v>
      </c>
    </row>
    <row r="252" spans="1:10" x14ac:dyDescent="0.3">
      <c r="A252" s="2">
        <v>45604</v>
      </c>
      <c r="B252" t="s">
        <v>24</v>
      </c>
      <c r="C252" t="s">
        <v>32</v>
      </c>
      <c r="D252">
        <v>2500</v>
      </c>
      <c r="E252">
        <v>19</v>
      </c>
      <c r="F252">
        <v>7</v>
      </c>
      <c r="G252">
        <v>17500</v>
      </c>
      <c r="H252">
        <v>47500</v>
      </c>
      <c r="I252">
        <v>30000</v>
      </c>
      <c r="J252">
        <v>63</v>
      </c>
    </row>
    <row r="253" spans="1:10" x14ac:dyDescent="0.3">
      <c r="A253" s="2">
        <v>45604</v>
      </c>
      <c r="B253" t="s">
        <v>22</v>
      </c>
      <c r="C253" t="s">
        <v>33</v>
      </c>
      <c r="D253">
        <v>2000</v>
      </c>
      <c r="E253">
        <v>6</v>
      </c>
      <c r="F253">
        <v>3</v>
      </c>
      <c r="G253">
        <v>6000</v>
      </c>
      <c r="H253">
        <v>12000</v>
      </c>
      <c r="I253">
        <v>6000</v>
      </c>
      <c r="J253">
        <v>50</v>
      </c>
    </row>
    <row r="254" spans="1:10" x14ac:dyDescent="0.3">
      <c r="A254" s="2">
        <v>45604</v>
      </c>
      <c r="B254" t="s">
        <v>23</v>
      </c>
      <c r="C254" t="s">
        <v>26</v>
      </c>
      <c r="D254">
        <v>1500</v>
      </c>
      <c r="E254">
        <v>10</v>
      </c>
      <c r="F254">
        <v>4</v>
      </c>
      <c r="G254">
        <v>6000</v>
      </c>
      <c r="H254">
        <v>15000</v>
      </c>
      <c r="I254">
        <v>9000</v>
      </c>
      <c r="J254">
        <v>60</v>
      </c>
    </row>
    <row r="255" spans="1:10" x14ac:dyDescent="0.3">
      <c r="A255" s="2">
        <v>45604</v>
      </c>
      <c r="B255" t="s">
        <v>22</v>
      </c>
      <c r="C255" t="s">
        <v>28</v>
      </c>
      <c r="D255">
        <v>1500</v>
      </c>
      <c r="E255">
        <v>9</v>
      </c>
      <c r="F255">
        <v>4</v>
      </c>
      <c r="G255">
        <v>6000</v>
      </c>
      <c r="H255">
        <v>13500</v>
      </c>
      <c r="I255">
        <v>7500</v>
      </c>
      <c r="J255">
        <v>56</v>
      </c>
    </row>
    <row r="256" spans="1:10" x14ac:dyDescent="0.3">
      <c r="A256" s="2">
        <v>45604</v>
      </c>
      <c r="B256" t="s">
        <v>22</v>
      </c>
      <c r="C256" t="s">
        <v>33</v>
      </c>
      <c r="D256">
        <v>1000</v>
      </c>
      <c r="E256">
        <v>7</v>
      </c>
      <c r="F256">
        <v>3</v>
      </c>
      <c r="G256">
        <v>3000</v>
      </c>
      <c r="H256">
        <v>7000</v>
      </c>
      <c r="I256">
        <v>4000</v>
      </c>
      <c r="J256">
        <v>57</v>
      </c>
    </row>
    <row r="257" spans="1:10" x14ac:dyDescent="0.3">
      <c r="A257" s="2">
        <v>45604</v>
      </c>
      <c r="B257" t="s">
        <v>22</v>
      </c>
      <c r="C257" t="s">
        <v>34</v>
      </c>
      <c r="D257">
        <v>1000</v>
      </c>
      <c r="E257">
        <v>5</v>
      </c>
      <c r="F257">
        <v>4</v>
      </c>
      <c r="G257">
        <v>4000</v>
      </c>
      <c r="H257">
        <v>5000</v>
      </c>
      <c r="I257">
        <v>1000</v>
      </c>
      <c r="J257">
        <v>20</v>
      </c>
    </row>
    <row r="258" spans="1:10" x14ac:dyDescent="0.3">
      <c r="A258" s="2">
        <v>45605</v>
      </c>
      <c r="B258" t="s">
        <v>22</v>
      </c>
      <c r="C258" t="s">
        <v>25</v>
      </c>
      <c r="D258">
        <v>1000</v>
      </c>
      <c r="E258">
        <v>16</v>
      </c>
      <c r="F258">
        <v>7</v>
      </c>
      <c r="G258">
        <v>7000</v>
      </c>
      <c r="H258">
        <v>16000</v>
      </c>
      <c r="I258">
        <v>9000</v>
      </c>
      <c r="J258">
        <v>56</v>
      </c>
    </row>
    <row r="259" spans="1:10" x14ac:dyDescent="0.3">
      <c r="A259" s="2">
        <v>45605</v>
      </c>
      <c r="B259" t="s">
        <v>22</v>
      </c>
      <c r="C259" t="s">
        <v>25</v>
      </c>
      <c r="D259">
        <v>2000</v>
      </c>
      <c r="E259">
        <v>5</v>
      </c>
      <c r="F259">
        <v>4</v>
      </c>
      <c r="G259">
        <v>8000</v>
      </c>
      <c r="H259">
        <v>10000</v>
      </c>
      <c r="I259">
        <v>2000</v>
      </c>
      <c r="J259">
        <v>20</v>
      </c>
    </row>
    <row r="260" spans="1:10" x14ac:dyDescent="0.3">
      <c r="A260" s="2">
        <v>45605</v>
      </c>
      <c r="B260" t="s">
        <v>24</v>
      </c>
      <c r="C260" t="s">
        <v>39</v>
      </c>
      <c r="D260">
        <v>1500</v>
      </c>
      <c r="E260">
        <v>16</v>
      </c>
      <c r="F260">
        <v>4</v>
      </c>
      <c r="G260">
        <v>6000</v>
      </c>
      <c r="H260">
        <v>24000</v>
      </c>
      <c r="I260">
        <v>18000</v>
      </c>
      <c r="J260">
        <v>75</v>
      </c>
    </row>
    <row r="261" spans="1:10" x14ac:dyDescent="0.3">
      <c r="A261" s="2">
        <v>45605</v>
      </c>
      <c r="B261" t="s">
        <v>24</v>
      </c>
      <c r="C261" t="s">
        <v>35</v>
      </c>
      <c r="D261">
        <v>2000</v>
      </c>
      <c r="E261">
        <v>13</v>
      </c>
      <c r="F261">
        <v>7</v>
      </c>
      <c r="G261">
        <v>14000</v>
      </c>
      <c r="H261">
        <v>26000</v>
      </c>
      <c r="I261">
        <v>12000</v>
      </c>
      <c r="J261">
        <v>46</v>
      </c>
    </row>
    <row r="262" spans="1:10" x14ac:dyDescent="0.3">
      <c r="A262" s="2">
        <v>45605</v>
      </c>
      <c r="B262" t="s">
        <v>22</v>
      </c>
      <c r="C262" t="s">
        <v>37</v>
      </c>
      <c r="D262">
        <v>2000</v>
      </c>
      <c r="E262">
        <v>16</v>
      </c>
      <c r="F262">
        <v>9</v>
      </c>
      <c r="G262">
        <v>18000</v>
      </c>
      <c r="H262">
        <v>32000</v>
      </c>
      <c r="I262">
        <v>14000</v>
      </c>
      <c r="J262">
        <v>44</v>
      </c>
    </row>
    <row r="263" spans="1:10" x14ac:dyDescent="0.3">
      <c r="A263" s="2">
        <v>45605</v>
      </c>
      <c r="B263" t="s">
        <v>23</v>
      </c>
      <c r="C263" t="s">
        <v>26</v>
      </c>
      <c r="D263">
        <v>2000</v>
      </c>
      <c r="E263">
        <v>11</v>
      </c>
      <c r="F263">
        <v>4</v>
      </c>
      <c r="G263">
        <v>8000</v>
      </c>
      <c r="H263">
        <v>22000</v>
      </c>
      <c r="I263">
        <v>14000</v>
      </c>
      <c r="J263">
        <v>64</v>
      </c>
    </row>
    <row r="264" spans="1:10" x14ac:dyDescent="0.3">
      <c r="A264" s="2">
        <v>45605</v>
      </c>
      <c r="B264" t="s">
        <v>22</v>
      </c>
      <c r="C264" t="s">
        <v>37</v>
      </c>
      <c r="D264">
        <v>500</v>
      </c>
      <c r="E264">
        <v>7</v>
      </c>
      <c r="F264">
        <v>4</v>
      </c>
      <c r="G264">
        <v>2000</v>
      </c>
      <c r="H264">
        <v>3500</v>
      </c>
      <c r="I264">
        <v>1500</v>
      </c>
      <c r="J264">
        <v>43</v>
      </c>
    </row>
    <row r="265" spans="1:10" x14ac:dyDescent="0.3">
      <c r="A265" s="2">
        <v>45605</v>
      </c>
      <c r="B265" t="s">
        <v>24</v>
      </c>
      <c r="C265" t="s">
        <v>35</v>
      </c>
      <c r="D265">
        <v>1000</v>
      </c>
      <c r="E265">
        <v>10</v>
      </c>
      <c r="F265">
        <v>4</v>
      </c>
      <c r="G265">
        <v>4000</v>
      </c>
      <c r="H265">
        <v>10000</v>
      </c>
      <c r="I265">
        <v>6000</v>
      </c>
      <c r="J265">
        <v>60</v>
      </c>
    </row>
    <row r="266" spans="1:10" x14ac:dyDescent="0.3">
      <c r="A266" s="2">
        <v>45605</v>
      </c>
      <c r="B266" t="s">
        <v>23</v>
      </c>
      <c r="C266" t="s">
        <v>29</v>
      </c>
      <c r="D266">
        <v>2500</v>
      </c>
      <c r="E266">
        <v>20</v>
      </c>
      <c r="F266">
        <v>7</v>
      </c>
      <c r="G266">
        <v>17500</v>
      </c>
      <c r="H266">
        <v>50000</v>
      </c>
      <c r="I266">
        <v>32500</v>
      </c>
      <c r="J266">
        <v>65</v>
      </c>
    </row>
    <row r="267" spans="1:10" x14ac:dyDescent="0.3">
      <c r="A267" s="2">
        <v>45605</v>
      </c>
      <c r="B267" t="s">
        <v>22</v>
      </c>
      <c r="C267" t="s">
        <v>34</v>
      </c>
      <c r="D267">
        <v>1500</v>
      </c>
      <c r="E267">
        <v>9</v>
      </c>
      <c r="F267">
        <v>4</v>
      </c>
      <c r="G267">
        <v>6000</v>
      </c>
      <c r="H267">
        <v>13500</v>
      </c>
      <c r="I267">
        <v>7500</v>
      </c>
      <c r="J267">
        <v>56</v>
      </c>
    </row>
    <row r="268" spans="1:10" x14ac:dyDescent="0.3">
      <c r="A268" s="2">
        <v>45605</v>
      </c>
      <c r="B268" t="s">
        <v>22</v>
      </c>
      <c r="C268" t="s">
        <v>28</v>
      </c>
      <c r="D268">
        <v>2000</v>
      </c>
      <c r="E268">
        <v>14</v>
      </c>
      <c r="F268">
        <v>8</v>
      </c>
      <c r="G268">
        <v>16000</v>
      </c>
      <c r="H268">
        <v>28000</v>
      </c>
      <c r="I268">
        <v>12000</v>
      </c>
      <c r="J268">
        <v>43</v>
      </c>
    </row>
    <row r="269" spans="1:10" x14ac:dyDescent="0.3">
      <c r="A269" s="2">
        <v>45606</v>
      </c>
      <c r="B269" t="s">
        <v>23</v>
      </c>
      <c r="C269" t="s">
        <v>26</v>
      </c>
      <c r="D269">
        <v>1500</v>
      </c>
      <c r="E269">
        <v>10</v>
      </c>
      <c r="F269">
        <v>5</v>
      </c>
      <c r="G269">
        <v>7500</v>
      </c>
      <c r="H269">
        <v>15000</v>
      </c>
      <c r="I269">
        <v>7500</v>
      </c>
      <c r="J269">
        <v>50</v>
      </c>
    </row>
    <row r="270" spans="1:10" x14ac:dyDescent="0.3">
      <c r="A270" s="2">
        <v>45606</v>
      </c>
      <c r="B270" t="s">
        <v>22</v>
      </c>
      <c r="C270" t="s">
        <v>33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s="2">
        <v>45606</v>
      </c>
      <c r="B271" t="s">
        <v>24</v>
      </c>
      <c r="C271" t="s">
        <v>35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s="2">
        <v>45606</v>
      </c>
      <c r="B272" t="s">
        <v>23</v>
      </c>
      <c r="C272" t="s">
        <v>31</v>
      </c>
      <c r="D272">
        <v>1000</v>
      </c>
      <c r="E272">
        <v>5</v>
      </c>
      <c r="F272">
        <v>4</v>
      </c>
      <c r="G272">
        <v>4000</v>
      </c>
      <c r="H272">
        <v>5000</v>
      </c>
      <c r="I272">
        <v>1000</v>
      </c>
      <c r="J272">
        <v>20</v>
      </c>
    </row>
    <row r="273" spans="1:10" x14ac:dyDescent="0.3">
      <c r="A273" s="2">
        <v>45607</v>
      </c>
      <c r="B273" t="s">
        <v>22</v>
      </c>
      <c r="C273" t="s">
        <v>34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 s="2">
        <v>45607</v>
      </c>
      <c r="B274" t="s">
        <v>22</v>
      </c>
      <c r="C274" t="s">
        <v>37</v>
      </c>
      <c r="D274">
        <v>500</v>
      </c>
      <c r="E274">
        <v>13</v>
      </c>
      <c r="F274">
        <v>8</v>
      </c>
      <c r="G274">
        <v>4000</v>
      </c>
      <c r="H274">
        <v>6500</v>
      </c>
      <c r="I274">
        <v>2500</v>
      </c>
      <c r="J274">
        <v>38</v>
      </c>
    </row>
    <row r="275" spans="1:10" x14ac:dyDescent="0.3">
      <c r="A275" s="2">
        <v>45607</v>
      </c>
      <c r="B275" t="s">
        <v>22</v>
      </c>
      <c r="C275" t="s">
        <v>25</v>
      </c>
      <c r="D275">
        <v>2500</v>
      </c>
      <c r="E275">
        <v>12</v>
      </c>
      <c r="F275">
        <v>4</v>
      </c>
      <c r="G275">
        <v>10000</v>
      </c>
      <c r="H275">
        <v>30000</v>
      </c>
      <c r="I275">
        <v>20000</v>
      </c>
      <c r="J275">
        <v>67</v>
      </c>
    </row>
    <row r="276" spans="1:10" x14ac:dyDescent="0.3">
      <c r="A276" s="2">
        <v>45607</v>
      </c>
      <c r="B276" t="s">
        <v>24</v>
      </c>
      <c r="C276" t="s">
        <v>32</v>
      </c>
      <c r="D276">
        <v>500</v>
      </c>
      <c r="E276">
        <v>10</v>
      </c>
      <c r="F276">
        <v>4</v>
      </c>
      <c r="G276">
        <v>2000</v>
      </c>
      <c r="H276">
        <v>5000</v>
      </c>
      <c r="I276">
        <v>3000</v>
      </c>
      <c r="J276">
        <v>60</v>
      </c>
    </row>
    <row r="277" spans="1:10" x14ac:dyDescent="0.3">
      <c r="A277" s="2">
        <v>45607</v>
      </c>
      <c r="B277" t="s">
        <v>22</v>
      </c>
      <c r="C277" t="s">
        <v>33</v>
      </c>
      <c r="D277">
        <v>2000</v>
      </c>
      <c r="E277">
        <v>11</v>
      </c>
      <c r="F277">
        <v>4</v>
      </c>
      <c r="G277">
        <v>8000</v>
      </c>
      <c r="H277">
        <v>22000</v>
      </c>
      <c r="I277">
        <v>14000</v>
      </c>
      <c r="J277">
        <v>64</v>
      </c>
    </row>
    <row r="278" spans="1:10" x14ac:dyDescent="0.3">
      <c r="A278" s="2">
        <v>45608</v>
      </c>
      <c r="B278" t="s">
        <v>22</v>
      </c>
      <c r="C278" t="s">
        <v>33</v>
      </c>
      <c r="D278">
        <v>2500</v>
      </c>
      <c r="E278">
        <v>18</v>
      </c>
      <c r="F278">
        <v>17</v>
      </c>
      <c r="G278">
        <v>42500</v>
      </c>
      <c r="H278">
        <v>45000</v>
      </c>
      <c r="I278">
        <v>2500</v>
      </c>
      <c r="J278">
        <v>6</v>
      </c>
    </row>
    <row r="279" spans="1:10" x14ac:dyDescent="0.3">
      <c r="A279" s="2">
        <v>45608</v>
      </c>
      <c r="B279" t="s">
        <v>22</v>
      </c>
      <c r="C279" t="s">
        <v>37</v>
      </c>
      <c r="D279">
        <v>2000</v>
      </c>
      <c r="E279">
        <v>7</v>
      </c>
      <c r="F279">
        <v>4</v>
      </c>
      <c r="G279">
        <v>8000</v>
      </c>
      <c r="H279">
        <v>14000</v>
      </c>
      <c r="I279">
        <v>6000</v>
      </c>
      <c r="J279">
        <v>43</v>
      </c>
    </row>
    <row r="280" spans="1:10" x14ac:dyDescent="0.3">
      <c r="A280" s="2">
        <v>45608</v>
      </c>
      <c r="B280" t="s">
        <v>24</v>
      </c>
      <c r="C280" t="s">
        <v>30</v>
      </c>
      <c r="D280">
        <v>1000</v>
      </c>
      <c r="E280">
        <v>19</v>
      </c>
      <c r="F280">
        <v>10</v>
      </c>
      <c r="G280">
        <v>10000</v>
      </c>
      <c r="H280">
        <v>19000</v>
      </c>
      <c r="I280">
        <v>9000</v>
      </c>
      <c r="J280">
        <v>47</v>
      </c>
    </row>
    <row r="281" spans="1:10" x14ac:dyDescent="0.3">
      <c r="A281" s="2">
        <v>45608</v>
      </c>
      <c r="B281" t="s">
        <v>22</v>
      </c>
      <c r="C281" t="s">
        <v>37</v>
      </c>
      <c r="D281">
        <v>1500</v>
      </c>
      <c r="E281">
        <v>20</v>
      </c>
      <c r="F281">
        <v>17</v>
      </c>
      <c r="G281">
        <v>25500</v>
      </c>
      <c r="H281">
        <v>30000</v>
      </c>
      <c r="I281">
        <v>4500</v>
      </c>
      <c r="J281">
        <v>15</v>
      </c>
    </row>
    <row r="282" spans="1:10" x14ac:dyDescent="0.3">
      <c r="A282" s="2">
        <v>45608</v>
      </c>
      <c r="B282" t="s">
        <v>23</v>
      </c>
      <c r="C282" t="s">
        <v>31</v>
      </c>
      <c r="D282">
        <v>1000</v>
      </c>
      <c r="E282">
        <v>14</v>
      </c>
      <c r="F282">
        <v>11</v>
      </c>
      <c r="G282">
        <v>11000</v>
      </c>
      <c r="H282">
        <v>14000</v>
      </c>
      <c r="I282">
        <v>3000</v>
      </c>
      <c r="J282">
        <v>21</v>
      </c>
    </row>
    <row r="283" spans="1:10" x14ac:dyDescent="0.3">
      <c r="A283" s="2">
        <v>45608</v>
      </c>
      <c r="B283" t="s">
        <v>22</v>
      </c>
      <c r="C283" t="s">
        <v>37</v>
      </c>
      <c r="D283">
        <v>500</v>
      </c>
      <c r="E283">
        <v>18</v>
      </c>
      <c r="F283">
        <v>9</v>
      </c>
      <c r="G283">
        <v>4500</v>
      </c>
      <c r="H283">
        <v>9000</v>
      </c>
      <c r="I283">
        <v>4500</v>
      </c>
      <c r="J283">
        <v>50</v>
      </c>
    </row>
    <row r="284" spans="1:10" x14ac:dyDescent="0.3">
      <c r="A284" s="2">
        <v>45608</v>
      </c>
      <c r="B284" t="s">
        <v>22</v>
      </c>
      <c r="C284" t="s">
        <v>34</v>
      </c>
      <c r="D284">
        <v>500</v>
      </c>
      <c r="E284">
        <v>7</v>
      </c>
      <c r="F284">
        <v>3</v>
      </c>
      <c r="G284">
        <v>1500</v>
      </c>
      <c r="H284">
        <v>3500</v>
      </c>
      <c r="I284">
        <v>2000</v>
      </c>
      <c r="J284">
        <v>57</v>
      </c>
    </row>
    <row r="285" spans="1:10" x14ac:dyDescent="0.3">
      <c r="A285" s="2">
        <v>45609</v>
      </c>
      <c r="B285" t="s">
        <v>22</v>
      </c>
      <c r="C285" t="s">
        <v>34</v>
      </c>
      <c r="D285">
        <v>1000</v>
      </c>
      <c r="E285">
        <v>12</v>
      </c>
      <c r="F285">
        <v>4</v>
      </c>
      <c r="G285">
        <v>4000</v>
      </c>
      <c r="H285">
        <v>12000</v>
      </c>
      <c r="I285">
        <v>8000</v>
      </c>
      <c r="J285">
        <v>67</v>
      </c>
    </row>
    <row r="286" spans="1:10" x14ac:dyDescent="0.3">
      <c r="A286" s="2">
        <v>45609</v>
      </c>
      <c r="B286" t="s">
        <v>24</v>
      </c>
      <c r="C286" t="s">
        <v>32</v>
      </c>
      <c r="D286">
        <v>2500</v>
      </c>
      <c r="E286">
        <v>5</v>
      </c>
      <c r="F286">
        <v>4</v>
      </c>
      <c r="G286">
        <v>10000</v>
      </c>
      <c r="H286">
        <v>12500</v>
      </c>
      <c r="I286">
        <v>2500</v>
      </c>
      <c r="J286">
        <v>20</v>
      </c>
    </row>
    <row r="287" spans="1:10" x14ac:dyDescent="0.3">
      <c r="A287" s="2">
        <v>45609</v>
      </c>
      <c r="B287" t="s">
        <v>23</v>
      </c>
      <c r="C287" t="s">
        <v>27</v>
      </c>
      <c r="D287">
        <v>1500</v>
      </c>
      <c r="E287">
        <v>10</v>
      </c>
      <c r="F287">
        <v>5</v>
      </c>
      <c r="G287">
        <v>7500</v>
      </c>
      <c r="H287">
        <v>15000</v>
      </c>
      <c r="I287">
        <v>7500</v>
      </c>
      <c r="J287">
        <v>50</v>
      </c>
    </row>
    <row r="288" spans="1:10" x14ac:dyDescent="0.3">
      <c r="A288" s="2">
        <v>45609</v>
      </c>
      <c r="B288" t="s">
        <v>23</v>
      </c>
      <c r="C288" t="s">
        <v>31</v>
      </c>
      <c r="D288">
        <v>1500</v>
      </c>
      <c r="E288">
        <v>9</v>
      </c>
      <c r="F288">
        <v>4</v>
      </c>
      <c r="G288">
        <v>6000</v>
      </c>
      <c r="H288">
        <v>13500</v>
      </c>
      <c r="I288">
        <v>7500</v>
      </c>
      <c r="J288">
        <v>56</v>
      </c>
    </row>
    <row r="289" spans="1:10" x14ac:dyDescent="0.3">
      <c r="A289" s="2">
        <v>45609</v>
      </c>
      <c r="B289" t="s">
        <v>23</v>
      </c>
      <c r="C289" t="s">
        <v>38</v>
      </c>
      <c r="D289">
        <v>2000</v>
      </c>
      <c r="E289">
        <v>18</v>
      </c>
      <c r="F289">
        <v>12</v>
      </c>
      <c r="G289">
        <v>24000</v>
      </c>
      <c r="H289">
        <v>36000</v>
      </c>
      <c r="I289">
        <v>12000</v>
      </c>
      <c r="J289">
        <v>33</v>
      </c>
    </row>
    <row r="290" spans="1:10" x14ac:dyDescent="0.3">
      <c r="A290" s="2">
        <v>45609</v>
      </c>
      <c r="B290" t="s">
        <v>24</v>
      </c>
      <c r="C290" t="s">
        <v>35</v>
      </c>
      <c r="D290">
        <v>1000</v>
      </c>
      <c r="E290">
        <v>12</v>
      </c>
      <c r="F290">
        <v>5</v>
      </c>
      <c r="G290">
        <v>5000</v>
      </c>
      <c r="H290">
        <v>12000</v>
      </c>
      <c r="I290">
        <v>7000</v>
      </c>
      <c r="J290">
        <v>58</v>
      </c>
    </row>
    <row r="291" spans="1:10" x14ac:dyDescent="0.3">
      <c r="A291" s="2">
        <v>45609</v>
      </c>
      <c r="B291" t="s">
        <v>22</v>
      </c>
      <c r="C291" t="s">
        <v>33</v>
      </c>
      <c r="D291">
        <v>2500</v>
      </c>
      <c r="E291">
        <v>20</v>
      </c>
      <c r="F291">
        <v>12</v>
      </c>
      <c r="G291">
        <v>30000</v>
      </c>
      <c r="H291">
        <v>50000</v>
      </c>
      <c r="I291">
        <v>20000</v>
      </c>
      <c r="J291">
        <v>40</v>
      </c>
    </row>
    <row r="292" spans="1:10" x14ac:dyDescent="0.3">
      <c r="A292" s="2">
        <v>45609</v>
      </c>
      <c r="B292" t="s">
        <v>22</v>
      </c>
      <c r="C292" t="s">
        <v>25</v>
      </c>
      <c r="D292">
        <v>1000</v>
      </c>
      <c r="E292">
        <v>5</v>
      </c>
      <c r="F292">
        <v>4</v>
      </c>
      <c r="G292">
        <v>4000</v>
      </c>
      <c r="H292">
        <v>5000</v>
      </c>
      <c r="I292">
        <v>1000</v>
      </c>
      <c r="J292">
        <v>20</v>
      </c>
    </row>
    <row r="293" spans="1:10" x14ac:dyDescent="0.3">
      <c r="A293" s="2">
        <v>45609</v>
      </c>
      <c r="B293" t="s">
        <v>22</v>
      </c>
      <c r="C293" t="s">
        <v>25</v>
      </c>
      <c r="D293">
        <v>1500</v>
      </c>
      <c r="E293">
        <v>10</v>
      </c>
      <c r="F293">
        <v>3</v>
      </c>
      <c r="G293">
        <v>4500</v>
      </c>
      <c r="H293">
        <v>15000</v>
      </c>
      <c r="I293">
        <v>10500</v>
      </c>
      <c r="J293">
        <v>70</v>
      </c>
    </row>
    <row r="294" spans="1:10" x14ac:dyDescent="0.3">
      <c r="A294" s="2">
        <v>45610</v>
      </c>
      <c r="B294" t="s">
        <v>23</v>
      </c>
      <c r="C294" t="s">
        <v>26</v>
      </c>
      <c r="D294">
        <v>1000</v>
      </c>
      <c r="E294">
        <v>11</v>
      </c>
      <c r="F294">
        <v>10</v>
      </c>
      <c r="G294">
        <v>10000</v>
      </c>
      <c r="H294">
        <v>11000</v>
      </c>
      <c r="I294">
        <v>1000</v>
      </c>
      <c r="J294">
        <v>9</v>
      </c>
    </row>
    <row r="295" spans="1:10" x14ac:dyDescent="0.3">
      <c r="A295" s="2">
        <v>45610</v>
      </c>
      <c r="B295" t="s">
        <v>23</v>
      </c>
      <c r="C295" t="s">
        <v>27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s="2">
        <v>45610</v>
      </c>
      <c r="B296" t="s">
        <v>22</v>
      </c>
      <c r="C296" t="s">
        <v>25</v>
      </c>
      <c r="D296">
        <v>1000</v>
      </c>
      <c r="E296">
        <v>20</v>
      </c>
      <c r="F296">
        <v>19</v>
      </c>
      <c r="G296">
        <v>19000</v>
      </c>
      <c r="H296">
        <v>20000</v>
      </c>
      <c r="I296">
        <v>1000</v>
      </c>
      <c r="J296">
        <v>5</v>
      </c>
    </row>
    <row r="297" spans="1:10" x14ac:dyDescent="0.3">
      <c r="A297" s="2">
        <v>45610</v>
      </c>
      <c r="B297" t="s">
        <v>22</v>
      </c>
      <c r="C297" t="s">
        <v>28</v>
      </c>
      <c r="D297">
        <v>2500</v>
      </c>
      <c r="E297">
        <v>5</v>
      </c>
      <c r="F297">
        <v>3</v>
      </c>
      <c r="G297">
        <v>7500</v>
      </c>
      <c r="H297">
        <v>12500</v>
      </c>
      <c r="I297">
        <v>5000</v>
      </c>
      <c r="J297">
        <v>40</v>
      </c>
    </row>
    <row r="298" spans="1:10" x14ac:dyDescent="0.3">
      <c r="A298" s="2">
        <v>45610</v>
      </c>
      <c r="B298" t="s">
        <v>22</v>
      </c>
      <c r="C298" t="s">
        <v>33</v>
      </c>
      <c r="D298">
        <v>500</v>
      </c>
      <c r="E298">
        <v>10</v>
      </c>
      <c r="F298">
        <v>6</v>
      </c>
      <c r="G298">
        <v>3000</v>
      </c>
      <c r="H298">
        <v>5000</v>
      </c>
      <c r="I298">
        <v>2000</v>
      </c>
      <c r="J298">
        <v>40</v>
      </c>
    </row>
    <row r="299" spans="1:10" x14ac:dyDescent="0.3">
      <c r="A299" s="2">
        <v>45611</v>
      </c>
      <c r="B299" t="s">
        <v>22</v>
      </c>
      <c r="C299" t="s">
        <v>28</v>
      </c>
      <c r="D299">
        <v>1500</v>
      </c>
      <c r="E299">
        <v>5</v>
      </c>
      <c r="F299">
        <v>4</v>
      </c>
      <c r="G299">
        <v>6000</v>
      </c>
      <c r="H299">
        <v>7500</v>
      </c>
      <c r="I299">
        <v>1500</v>
      </c>
      <c r="J299">
        <v>20</v>
      </c>
    </row>
    <row r="300" spans="1:10" x14ac:dyDescent="0.3">
      <c r="A300" s="2">
        <v>45611</v>
      </c>
      <c r="B300" t="s">
        <v>22</v>
      </c>
      <c r="C300" t="s">
        <v>33</v>
      </c>
      <c r="D300">
        <v>1500</v>
      </c>
      <c r="E300">
        <v>17</v>
      </c>
      <c r="F300">
        <v>4</v>
      </c>
      <c r="G300">
        <v>6000</v>
      </c>
      <c r="H300">
        <v>25500</v>
      </c>
      <c r="I300">
        <v>19500</v>
      </c>
      <c r="J300">
        <v>76</v>
      </c>
    </row>
    <row r="301" spans="1:10" x14ac:dyDescent="0.3">
      <c r="A301" s="2">
        <v>45611</v>
      </c>
      <c r="B301" t="s">
        <v>24</v>
      </c>
      <c r="C301" t="s">
        <v>39</v>
      </c>
      <c r="D301">
        <v>1500</v>
      </c>
      <c r="E301">
        <v>9</v>
      </c>
      <c r="F301">
        <v>5</v>
      </c>
      <c r="G301">
        <v>7500</v>
      </c>
      <c r="H301">
        <v>13500</v>
      </c>
      <c r="I301">
        <v>6000</v>
      </c>
      <c r="J301">
        <v>44</v>
      </c>
    </row>
    <row r="302" spans="1:10" x14ac:dyDescent="0.3">
      <c r="A302" s="2">
        <v>45611</v>
      </c>
      <c r="B302" t="s">
        <v>24</v>
      </c>
      <c r="C302" t="s">
        <v>36</v>
      </c>
      <c r="D302">
        <v>1000</v>
      </c>
      <c r="E302">
        <v>8</v>
      </c>
      <c r="F302">
        <v>6</v>
      </c>
      <c r="G302">
        <v>6000</v>
      </c>
      <c r="H302">
        <v>8000</v>
      </c>
      <c r="I302">
        <v>2000</v>
      </c>
      <c r="J302">
        <v>25</v>
      </c>
    </row>
    <row r="303" spans="1:10" x14ac:dyDescent="0.3">
      <c r="A303" s="2">
        <v>45611</v>
      </c>
      <c r="B303" t="s">
        <v>22</v>
      </c>
      <c r="C303" t="s">
        <v>34</v>
      </c>
      <c r="D303">
        <v>1500</v>
      </c>
      <c r="E303">
        <v>12</v>
      </c>
      <c r="F303">
        <v>10</v>
      </c>
      <c r="G303">
        <v>15000</v>
      </c>
      <c r="H303">
        <v>18000</v>
      </c>
      <c r="I303">
        <v>3000</v>
      </c>
      <c r="J303">
        <v>17</v>
      </c>
    </row>
    <row r="304" spans="1:10" x14ac:dyDescent="0.3">
      <c r="A304" s="2">
        <v>45611</v>
      </c>
      <c r="B304" t="s">
        <v>22</v>
      </c>
      <c r="C304" t="s">
        <v>28</v>
      </c>
      <c r="D304">
        <v>2000</v>
      </c>
      <c r="E304">
        <v>17</v>
      </c>
      <c r="F304">
        <v>4</v>
      </c>
      <c r="G304">
        <v>8000</v>
      </c>
      <c r="H304">
        <v>34000</v>
      </c>
      <c r="I304">
        <v>26000</v>
      </c>
      <c r="J304">
        <v>76</v>
      </c>
    </row>
    <row r="305" spans="1:10" x14ac:dyDescent="0.3">
      <c r="A305" s="2">
        <v>45611</v>
      </c>
      <c r="B305" t="s">
        <v>24</v>
      </c>
      <c r="C305" t="s">
        <v>35</v>
      </c>
      <c r="D305">
        <v>2500</v>
      </c>
      <c r="E305">
        <v>5</v>
      </c>
      <c r="F305">
        <v>3</v>
      </c>
      <c r="G305">
        <v>7500</v>
      </c>
      <c r="H305">
        <v>12500</v>
      </c>
      <c r="I305">
        <v>5000</v>
      </c>
      <c r="J305">
        <v>40</v>
      </c>
    </row>
    <row r="306" spans="1:10" x14ac:dyDescent="0.3">
      <c r="A306" s="2">
        <v>45612</v>
      </c>
      <c r="B306" t="s">
        <v>22</v>
      </c>
      <c r="C306" t="s">
        <v>25</v>
      </c>
      <c r="D306">
        <v>500</v>
      </c>
      <c r="E306">
        <v>8</v>
      </c>
      <c r="F306">
        <v>4</v>
      </c>
      <c r="G306">
        <v>2000</v>
      </c>
      <c r="H306">
        <v>4000</v>
      </c>
      <c r="I306">
        <v>2000</v>
      </c>
      <c r="J306">
        <v>50</v>
      </c>
    </row>
    <row r="307" spans="1:10" x14ac:dyDescent="0.3">
      <c r="A307" s="2">
        <v>45612</v>
      </c>
      <c r="B307" t="s">
        <v>22</v>
      </c>
      <c r="C307" t="s">
        <v>28</v>
      </c>
      <c r="D307">
        <v>2000</v>
      </c>
      <c r="E307">
        <v>18</v>
      </c>
      <c r="F307">
        <v>9</v>
      </c>
      <c r="G307">
        <v>18000</v>
      </c>
      <c r="H307">
        <v>36000</v>
      </c>
      <c r="I307">
        <v>18000</v>
      </c>
      <c r="J307">
        <v>50</v>
      </c>
    </row>
    <row r="308" spans="1:10" x14ac:dyDescent="0.3">
      <c r="A308" s="2">
        <v>45612</v>
      </c>
      <c r="B308" t="s">
        <v>23</v>
      </c>
      <c r="C308" t="s">
        <v>26</v>
      </c>
      <c r="D308">
        <v>1000</v>
      </c>
      <c r="E308">
        <v>6</v>
      </c>
      <c r="F308">
        <v>3</v>
      </c>
      <c r="G308">
        <v>3000</v>
      </c>
      <c r="H308">
        <v>6000</v>
      </c>
      <c r="I308">
        <v>3000</v>
      </c>
      <c r="J308">
        <v>50</v>
      </c>
    </row>
    <row r="309" spans="1:10" x14ac:dyDescent="0.3">
      <c r="A309" s="2">
        <v>45612</v>
      </c>
      <c r="B309" t="s">
        <v>24</v>
      </c>
      <c r="C309" t="s">
        <v>30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">
      <c r="A310" s="2">
        <v>45613</v>
      </c>
      <c r="B310" t="s">
        <v>22</v>
      </c>
      <c r="C310" t="s">
        <v>33</v>
      </c>
      <c r="D310">
        <v>2500</v>
      </c>
      <c r="E310">
        <v>7</v>
      </c>
      <c r="F310">
        <v>4</v>
      </c>
      <c r="G310">
        <v>10000</v>
      </c>
      <c r="H310">
        <v>17500</v>
      </c>
      <c r="I310">
        <v>7500</v>
      </c>
      <c r="J310">
        <v>43</v>
      </c>
    </row>
    <row r="311" spans="1:10" x14ac:dyDescent="0.3">
      <c r="A311" s="2">
        <v>45613</v>
      </c>
      <c r="B311" t="s">
        <v>24</v>
      </c>
      <c r="C311" t="s">
        <v>32</v>
      </c>
      <c r="D311">
        <v>2500</v>
      </c>
      <c r="E311">
        <v>9</v>
      </c>
      <c r="F311">
        <v>3</v>
      </c>
      <c r="G311">
        <v>7500</v>
      </c>
      <c r="H311">
        <v>22500</v>
      </c>
      <c r="I311">
        <v>15000</v>
      </c>
      <c r="J311">
        <v>67</v>
      </c>
    </row>
    <row r="312" spans="1:10" x14ac:dyDescent="0.3">
      <c r="A312" s="2">
        <v>45613</v>
      </c>
      <c r="B312" t="s">
        <v>24</v>
      </c>
      <c r="C312" t="s">
        <v>39</v>
      </c>
      <c r="D312">
        <v>1000</v>
      </c>
      <c r="E312">
        <v>19</v>
      </c>
      <c r="F312">
        <v>16</v>
      </c>
      <c r="G312">
        <v>16000</v>
      </c>
      <c r="H312">
        <v>19000</v>
      </c>
      <c r="I312">
        <v>3000</v>
      </c>
      <c r="J312">
        <v>16</v>
      </c>
    </row>
    <row r="313" spans="1:10" x14ac:dyDescent="0.3">
      <c r="A313" s="2">
        <v>45613</v>
      </c>
      <c r="B313" t="s">
        <v>24</v>
      </c>
      <c r="C313" t="s">
        <v>36</v>
      </c>
      <c r="D313">
        <v>1000</v>
      </c>
      <c r="E313">
        <v>5</v>
      </c>
      <c r="F313">
        <v>3</v>
      </c>
      <c r="G313">
        <v>3000</v>
      </c>
      <c r="H313">
        <v>5000</v>
      </c>
      <c r="I313">
        <v>2000</v>
      </c>
      <c r="J313">
        <v>40</v>
      </c>
    </row>
    <row r="314" spans="1:10" x14ac:dyDescent="0.3">
      <c r="A314" s="2">
        <v>45614</v>
      </c>
      <c r="B314" t="s">
        <v>22</v>
      </c>
      <c r="C314" t="s">
        <v>25</v>
      </c>
      <c r="D314">
        <v>1500</v>
      </c>
      <c r="E314">
        <v>6</v>
      </c>
      <c r="F314">
        <v>5</v>
      </c>
      <c r="G314">
        <v>7500</v>
      </c>
      <c r="H314">
        <v>9000</v>
      </c>
      <c r="I314">
        <v>1500</v>
      </c>
      <c r="J314">
        <v>17</v>
      </c>
    </row>
    <row r="315" spans="1:10" x14ac:dyDescent="0.3">
      <c r="A315" s="2">
        <v>45614</v>
      </c>
      <c r="B315" t="s">
        <v>24</v>
      </c>
      <c r="C315" t="s">
        <v>32</v>
      </c>
      <c r="D315">
        <v>1000</v>
      </c>
      <c r="E315">
        <v>13</v>
      </c>
      <c r="F315">
        <v>3</v>
      </c>
      <c r="G315">
        <v>3000</v>
      </c>
      <c r="H315">
        <v>13000</v>
      </c>
      <c r="I315">
        <v>10000</v>
      </c>
      <c r="J315">
        <v>77</v>
      </c>
    </row>
    <row r="316" spans="1:10" x14ac:dyDescent="0.3">
      <c r="A316" s="2">
        <v>45614</v>
      </c>
      <c r="B316" t="s">
        <v>24</v>
      </c>
      <c r="C316" t="s">
        <v>39</v>
      </c>
      <c r="D316">
        <v>2000</v>
      </c>
      <c r="E316">
        <v>6</v>
      </c>
      <c r="F316">
        <v>4</v>
      </c>
      <c r="G316">
        <v>8000</v>
      </c>
      <c r="H316">
        <v>12000</v>
      </c>
      <c r="I316">
        <v>4000</v>
      </c>
      <c r="J316">
        <v>33</v>
      </c>
    </row>
    <row r="317" spans="1:10" x14ac:dyDescent="0.3">
      <c r="A317" s="2">
        <v>45614</v>
      </c>
      <c r="B317" t="s">
        <v>23</v>
      </c>
      <c r="C317" t="s">
        <v>31</v>
      </c>
      <c r="D317">
        <v>500</v>
      </c>
      <c r="E317">
        <v>14</v>
      </c>
      <c r="F317">
        <v>8</v>
      </c>
      <c r="G317">
        <v>4000</v>
      </c>
      <c r="H317">
        <v>7000</v>
      </c>
      <c r="I317">
        <v>3000</v>
      </c>
      <c r="J317">
        <v>43</v>
      </c>
    </row>
    <row r="318" spans="1:10" x14ac:dyDescent="0.3">
      <c r="A318" s="2">
        <v>45614</v>
      </c>
      <c r="B318" t="s">
        <v>23</v>
      </c>
      <c r="C318" t="s">
        <v>29</v>
      </c>
      <c r="D318">
        <v>2500</v>
      </c>
      <c r="E318">
        <v>9</v>
      </c>
      <c r="F318">
        <v>7</v>
      </c>
      <c r="G318">
        <v>17500</v>
      </c>
      <c r="H318">
        <v>22500</v>
      </c>
      <c r="I318">
        <v>5000</v>
      </c>
      <c r="J318">
        <v>22</v>
      </c>
    </row>
    <row r="319" spans="1:10" x14ac:dyDescent="0.3">
      <c r="A319" s="2">
        <v>45615</v>
      </c>
      <c r="B319" t="s">
        <v>23</v>
      </c>
      <c r="C319" t="s">
        <v>29</v>
      </c>
      <c r="D319">
        <v>1000</v>
      </c>
      <c r="E319">
        <v>15</v>
      </c>
      <c r="F319">
        <v>11</v>
      </c>
      <c r="G319">
        <v>11000</v>
      </c>
      <c r="H319">
        <v>15000</v>
      </c>
      <c r="I319">
        <v>4000</v>
      </c>
      <c r="J319">
        <v>27</v>
      </c>
    </row>
    <row r="320" spans="1:10" x14ac:dyDescent="0.3">
      <c r="A320" s="2">
        <v>45615</v>
      </c>
      <c r="B320" t="s">
        <v>22</v>
      </c>
      <c r="C320" t="s">
        <v>28</v>
      </c>
      <c r="D320">
        <v>2000</v>
      </c>
      <c r="E320">
        <v>19</v>
      </c>
      <c r="F320">
        <v>5</v>
      </c>
      <c r="G320">
        <v>10000</v>
      </c>
      <c r="H320">
        <v>38000</v>
      </c>
      <c r="I320">
        <v>28000</v>
      </c>
      <c r="J320">
        <v>74</v>
      </c>
    </row>
    <row r="321" spans="1:10" x14ac:dyDescent="0.3">
      <c r="A321" s="2">
        <v>45615</v>
      </c>
      <c r="B321" t="s">
        <v>22</v>
      </c>
      <c r="C321" t="s">
        <v>25</v>
      </c>
      <c r="D321">
        <v>2000</v>
      </c>
      <c r="E321">
        <v>7</v>
      </c>
      <c r="F321">
        <v>4</v>
      </c>
      <c r="G321">
        <v>8000</v>
      </c>
      <c r="H321">
        <v>14000</v>
      </c>
      <c r="I321">
        <v>6000</v>
      </c>
      <c r="J321">
        <v>43</v>
      </c>
    </row>
    <row r="322" spans="1:10" x14ac:dyDescent="0.3">
      <c r="A322" s="2">
        <v>45615</v>
      </c>
      <c r="B322" t="s">
        <v>22</v>
      </c>
      <c r="C322" t="s">
        <v>33</v>
      </c>
      <c r="D322">
        <v>2000</v>
      </c>
      <c r="E322">
        <v>9</v>
      </c>
      <c r="F322">
        <v>6</v>
      </c>
      <c r="G322">
        <v>12000</v>
      </c>
      <c r="H322">
        <v>18000</v>
      </c>
      <c r="I322">
        <v>6000</v>
      </c>
      <c r="J322">
        <v>33</v>
      </c>
    </row>
    <row r="323" spans="1:10" x14ac:dyDescent="0.3">
      <c r="A323" s="2">
        <v>45615</v>
      </c>
      <c r="B323" t="s">
        <v>23</v>
      </c>
      <c r="C323" t="s">
        <v>31</v>
      </c>
      <c r="D323">
        <v>2500</v>
      </c>
      <c r="E323">
        <v>18</v>
      </c>
      <c r="F323">
        <v>8</v>
      </c>
      <c r="G323">
        <v>20000</v>
      </c>
      <c r="H323">
        <v>45000</v>
      </c>
      <c r="I323">
        <v>25000</v>
      </c>
      <c r="J323">
        <v>56</v>
      </c>
    </row>
    <row r="324" spans="1:10" x14ac:dyDescent="0.3">
      <c r="A324" s="2">
        <v>45615</v>
      </c>
      <c r="B324" t="s">
        <v>23</v>
      </c>
      <c r="C324" t="s">
        <v>38</v>
      </c>
      <c r="D324">
        <v>1000</v>
      </c>
      <c r="E324">
        <v>16</v>
      </c>
      <c r="F324">
        <v>4</v>
      </c>
      <c r="G324">
        <v>4000</v>
      </c>
      <c r="H324">
        <v>16000</v>
      </c>
      <c r="I324">
        <v>12000</v>
      </c>
      <c r="J324">
        <v>75</v>
      </c>
    </row>
    <row r="325" spans="1:10" x14ac:dyDescent="0.3">
      <c r="A325" s="2">
        <v>45616</v>
      </c>
      <c r="B325" t="s">
        <v>22</v>
      </c>
      <c r="C325" t="s">
        <v>37</v>
      </c>
      <c r="D325">
        <v>1500</v>
      </c>
      <c r="E325">
        <v>9</v>
      </c>
      <c r="F325">
        <v>4</v>
      </c>
      <c r="G325">
        <v>6000</v>
      </c>
      <c r="H325">
        <v>13500</v>
      </c>
      <c r="I325">
        <v>7500</v>
      </c>
      <c r="J325">
        <v>56</v>
      </c>
    </row>
    <row r="326" spans="1:10" x14ac:dyDescent="0.3">
      <c r="A326" s="2">
        <v>45616</v>
      </c>
      <c r="B326" t="s">
        <v>23</v>
      </c>
      <c r="C326" t="s">
        <v>29</v>
      </c>
      <c r="D326">
        <v>500</v>
      </c>
      <c r="E326">
        <v>7</v>
      </c>
      <c r="F326">
        <v>6</v>
      </c>
      <c r="G326">
        <v>3000</v>
      </c>
      <c r="H326">
        <v>3500</v>
      </c>
      <c r="I326">
        <v>500</v>
      </c>
      <c r="J326">
        <v>14</v>
      </c>
    </row>
    <row r="327" spans="1:10" x14ac:dyDescent="0.3">
      <c r="A327" s="2">
        <v>45616</v>
      </c>
      <c r="B327" t="s">
        <v>24</v>
      </c>
      <c r="C327" t="s">
        <v>39</v>
      </c>
      <c r="D327">
        <v>2500</v>
      </c>
      <c r="E327">
        <v>17</v>
      </c>
      <c r="F327">
        <v>6</v>
      </c>
      <c r="G327">
        <v>15000</v>
      </c>
      <c r="H327">
        <v>42500</v>
      </c>
      <c r="I327">
        <v>27500</v>
      </c>
      <c r="J327">
        <v>65</v>
      </c>
    </row>
    <row r="328" spans="1:10" x14ac:dyDescent="0.3">
      <c r="A328" s="2">
        <v>45616</v>
      </c>
      <c r="B328" t="s">
        <v>22</v>
      </c>
      <c r="C328" t="s">
        <v>34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s="2">
        <v>45616</v>
      </c>
      <c r="B329" t="s">
        <v>24</v>
      </c>
      <c r="C329" t="s">
        <v>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s="2">
        <v>45616</v>
      </c>
      <c r="B330" t="s">
        <v>23</v>
      </c>
      <c r="C330" t="s">
        <v>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">
      <c r="A331" s="2">
        <v>45616</v>
      </c>
      <c r="B331" t="s">
        <v>23</v>
      </c>
      <c r="C331" t="s">
        <v>26</v>
      </c>
      <c r="D331">
        <v>500</v>
      </c>
      <c r="E331">
        <v>11</v>
      </c>
      <c r="F331">
        <v>3</v>
      </c>
      <c r="G331">
        <v>1500</v>
      </c>
      <c r="H331">
        <v>5500</v>
      </c>
      <c r="I331">
        <v>4000</v>
      </c>
      <c r="J331">
        <v>73</v>
      </c>
    </row>
    <row r="332" spans="1:10" x14ac:dyDescent="0.3">
      <c r="A332" s="2">
        <v>45616</v>
      </c>
      <c r="B332" t="s">
        <v>23</v>
      </c>
      <c r="C332" t="s">
        <v>38</v>
      </c>
      <c r="D332">
        <v>2000</v>
      </c>
      <c r="E332">
        <v>18</v>
      </c>
      <c r="F332">
        <v>11</v>
      </c>
      <c r="G332">
        <v>22000</v>
      </c>
      <c r="H332">
        <v>36000</v>
      </c>
      <c r="I332">
        <v>14000</v>
      </c>
      <c r="J332">
        <v>39</v>
      </c>
    </row>
    <row r="333" spans="1:10" x14ac:dyDescent="0.3">
      <c r="A333" s="2">
        <v>45617</v>
      </c>
      <c r="B333" t="s">
        <v>23</v>
      </c>
      <c r="C333" t="s">
        <v>38</v>
      </c>
      <c r="D333">
        <v>2500</v>
      </c>
      <c r="E333">
        <v>12</v>
      </c>
      <c r="F333">
        <v>6</v>
      </c>
      <c r="G333">
        <v>15000</v>
      </c>
      <c r="H333">
        <v>30000</v>
      </c>
      <c r="I333">
        <v>15000</v>
      </c>
      <c r="J333">
        <v>50</v>
      </c>
    </row>
    <row r="334" spans="1:10" x14ac:dyDescent="0.3">
      <c r="A334" s="2">
        <v>45617</v>
      </c>
      <c r="B334" t="s">
        <v>22</v>
      </c>
      <c r="C334" t="s">
        <v>25</v>
      </c>
      <c r="D334">
        <v>500</v>
      </c>
      <c r="E334">
        <v>11</v>
      </c>
      <c r="F334">
        <v>6</v>
      </c>
      <c r="G334">
        <v>3000</v>
      </c>
      <c r="H334">
        <v>5500</v>
      </c>
      <c r="I334">
        <v>2500</v>
      </c>
      <c r="J334">
        <v>45</v>
      </c>
    </row>
    <row r="335" spans="1:10" x14ac:dyDescent="0.3">
      <c r="A335" s="2">
        <v>45617</v>
      </c>
      <c r="B335" t="s">
        <v>24</v>
      </c>
      <c r="C335" t="s">
        <v>35</v>
      </c>
      <c r="D335">
        <v>2500</v>
      </c>
      <c r="E335">
        <v>13</v>
      </c>
      <c r="F335">
        <v>5</v>
      </c>
      <c r="G335">
        <v>12500</v>
      </c>
      <c r="H335">
        <v>32500</v>
      </c>
      <c r="I335">
        <v>20000</v>
      </c>
      <c r="J335">
        <v>62</v>
      </c>
    </row>
    <row r="336" spans="1:10" x14ac:dyDescent="0.3">
      <c r="A336" s="2">
        <v>45617</v>
      </c>
      <c r="B336" t="s">
        <v>23</v>
      </c>
      <c r="C336" t="s">
        <v>31</v>
      </c>
      <c r="D336">
        <v>1000</v>
      </c>
      <c r="E336">
        <v>12</v>
      </c>
      <c r="F336">
        <v>6</v>
      </c>
      <c r="G336">
        <v>6000</v>
      </c>
      <c r="H336">
        <v>12000</v>
      </c>
      <c r="I336">
        <v>6000</v>
      </c>
      <c r="J336">
        <v>50</v>
      </c>
    </row>
    <row r="337" spans="1:10" x14ac:dyDescent="0.3">
      <c r="A337" s="2">
        <v>45617</v>
      </c>
      <c r="B337" t="s">
        <v>24</v>
      </c>
      <c r="C337" t="s">
        <v>35</v>
      </c>
      <c r="D337">
        <v>500</v>
      </c>
      <c r="E337">
        <v>7</v>
      </c>
      <c r="F337">
        <v>3</v>
      </c>
      <c r="G337">
        <v>1500</v>
      </c>
      <c r="H337">
        <v>3500</v>
      </c>
      <c r="I337">
        <v>2000</v>
      </c>
      <c r="J337">
        <v>57</v>
      </c>
    </row>
    <row r="338" spans="1:10" x14ac:dyDescent="0.3">
      <c r="A338" s="2">
        <v>45617</v>
      </c>
      <c r="B338" t="s">
        <v>23</v>
      </c>
      <c r="C338" t="s">
        <v>31</v>
      </c>
      <c r="D338">
        <v>2500</v>
      </c>
      <c r="E338">
        <v>14</v>
      </c>
      <c r="F338">
        <v>7</v>
      </c>
      <c r="G338">
        <v>17500</v>
      </c>
      <c r="H338">
        <v>35000</v>
      </c>
      <c r="I338">
        <v>17500</v>
      </c>
      <c r="J338">
        <v>50</v>
      </c>
    </row>
    <row r="339" spans="1:10" x14ac:dyDescent="0.3">
      <c r="A339" s="2">
        <v>45617</v>
      </c>
      <c r="B339" t="s">
        <v>23</v>
      </c>
      <c r="C339" t="s">
        <v>29</v>
      </c>
      <c r="D339">
        <v>1000</v>
      </c>
      <c r="E339">
        <v>20</v>
      </c>
      <c r="F339">
        <v>18</v>
      </c>
      <c r="G339">
        <v>18000</v>
      </c>
      <c r="H339">
        <v>20000</v>
      </c>
      <c r="I339">
        <v>2000</v>
      </c>
      <c r="J339">
        <v>10</v>
      </c>
    </row>
    <row r="340" spans="1:10" x14ac:dyDescent="0.3">
      <c r="A340" s="2">
        <v>45617</v>
      </c>
      <c r="B340" t="s">
        <v>22</v>
      </c>
      <c r="C340" t="s">
        <v>25</v>
      </c>
      <c r="D340">
        <v>1000</v>
      </c>
      <c r="E340">
        <v>10</v>
      </c>
      <c r="F340">
        <v>5</v>
      </c>
      <c r="G340">
        <v>5000</v>
      </c>
      <c r="H340">
        <v>10000</v>
      </c>
      <c r="I340">
        <v>5000</v>
      </c>
      <c r="J340">
        <v>50</v>
      </c>
    </row>
    <row r="341" spans="1:10" x14ac:dyDescent="0.3">
      <c r="A341" s="2">
        <v>45618</v>
      </c>
      <c r="B341" t="s">
        <v>23</v>
      </c>
      <c r="C341" t="s">
        <v>26</v>
      </c>
      <c r="D341">
        <v>1000</v>
      </c>
      <c r="E341">
        <v>6</v>
      </c>
      <c r="F341">
        <v>3</v>
      </c>
      <c r="G341">
        <v>3000</v>
      </c>
      <c r="H341">
        <v>6000</v>
      </c>
      <c r="I341">
        <v>3000</v>
      </c>
      <c r="J341">
        <v>50</v>
      </c>
    </row>
    <row r="342" spans="1:10" x14ac:dyDescent="0.3">
      <c r="A342" s="2">
        <v>45618</v>
      </c>
      <c r="B342" t="s">
        <v>23</v>
      </c>
      <c r="C342" t="s">
        <v>31</v>
      </c>
      <c r="D342">
        <v>1500</v>
      </c>
      <c r="E342">
        <v>12</v>
      </c>
      <c r="F342">
        <v>5</v>
      </c>
      <c r="G342">
        <v>7500</v>
      </c>
      <c r="H342">
        <v>18000</v>
      </c>
      <c r="I342">
        <v>10500</v>
      </c>
      <c r="J342">
        <v>58</v>
      </c>
    </row>
    <row r="343" spans="1:10" x14ac:dyDescent="0.3">
      <c r="A343" s="2">
        <v>45618</v>
      </c>
      <c r="B343" t="s">
        <v>22</v>
      </c>
      <c r="C343" t="s">
        <v>34</v>
      </c>
      <c r="D343">
        <v>2000</v>
      </c>
      <c r="E343">
        <v>15</v>
      </c>
      <c r="F343">
        <v>14</v>
      </c>
      <c r="G343">
        <v>28000</v>
      </c>
      <c r="H343">
        <v>30000</v>
      </c>
      <c r="I343">
        <v>2000</v>
      </c>
      <c r="J343">
        <v>7</v>
      </c>
    </row>
    <row r="344" spans="1:10" x14ac:dyDescent="0.3">
      <c r="A344" s="2">
        <v>45618</v>
      </c>
      <c r="B344" t="s">
        <v>23</v>
      </c>
      <c r="C344" t="s">
        <v>31</v>
      </c>
      <c r="D344">
        <v>500</v>
      </c>
      <c r="E344">
        <v>19</v>
      </c>
      <c r="F344">
        <v>3</v>
      </c>
      <c r="G344">
        <v>1500</v>
      </c>
      <c r="H344">
        <v>9500</v>
      </c>
      <c r="I344">
        <v>8000</v>
      </c>
      <c r="J344">
        <v>84</v>
      </c>
    </row>
    <row r="345" spans="1:10" x14ac:dyDescent="0.3">
      <c r="A345" s="2">
        <v>45618</v>
      </c>
      <c r="B345" t="s">
        <v>23</v>
      </c>
      <c r="C345" t="s">
        <v>31</v>
      </c>
      <c r="D345">
        <v>500</v>
      </c>
      <c r="E345">
        <v>14</v>
      </c>
      <c r="F345">
        <v>6</v>
      </c>
      <c r="G345">
        <v>3000</v>
      </c>
      <c r="H345">
        <v>7000</v>
      </c>
      <c r="I345">
        <v>4000</v>
      </c>
      <c r="J345">
        <v>57</v>
      </c>
    </row>
    <row r="346" spans="1:10" x14ac:dyDescent="0.3">
      <c r="A346" s="2">
        <v>45618</v>
      </c>
      <c r="B346" t="s">
        <v>24</v>
      </c>
      <c r="C346" t="s">
        <v>32</v>
      </c>
      <c r="D346">
        <v>1000</v>
      </c>
      <c r="E346">
        <v>16</v>
      </c>
      <c r="F346">
        <v>8</v>
      </c>
      <c r="G346">
        <v>8000</v>
      </c>
      <c r="H346">
        <v>16000</v>
      </c>
      <c r="I346">
        <v>8000</v>
      </c>
      <c r="J346">
        <v>50</v>
      </c>
    </row>
    <row r="347" spans="1:10" x14ac:dyDescent="0.3">
      <c r="A347" s="2">
        <v>45618</v>
      </c>
      <c r="B347" t="s">
        <v>24</v>
      </c>
      <c r="C347" t="s">
        <v>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s="2">
        <v>45618</v>
      </c>
      <c r="B348" t="s">
        <v>24</v>
      </c>
      <c r="C348" t="s">
        <v>32</v>
      </c>
      <c r="D348">
        <v>1500</v>
      </c>
      <c r="E348">
        <v>5</v>
      </c>
      <c r="F348">
        <v>4</v>
      </c>
      <c r="G348">
        <v>6000</v>
      </c>
      <c r="H348">
        <v>7500</v>
      </c>
      <c r="I348">
        <v>1500</v>
      </c>
      <c r="J348">
        <v>20</v>
      </c>
    </row>
    <row r="349" spans="1:10" x14ac:dyDescent="0.3">
      <c r="A349" s="2">
        <v>45618</v>
      </c>
      <c r="B349" t="s">
        <v>22</v>
      </c>
      <c r="C349" t="s">
        <v>33</v>
      </c>
      <c r="D349">
        <v>500</v>
      </c>
      <c r="E349">
        <v>8</v>
      </c>
      <c r="F349">
        <v>4</v>
      </c>
      <c r="G349">
        <v>2000</v>
      </c>
      <c r="H349">
        <v>4000</v>
      </c>
      <c r="I349">
        <v>2000</v>
      </c>
      <c r="J349">
        <v>50</v>
      </c>
    </row>
    <row r="350" spans="1:10" x14ac:dyDescent="0.3">
      <c r="A350" s="2">
        <v>45618</v>
      </c>
      <c r="B350" t="s">
        <v>22</v>
      </c>
      <c r="C350" t="s">
        <v>34</v>
      </c>
      <c r="D350">
        <v>500</v>
      </c>
      <c r="E350">
        <v>6</v>
      </c>
      <c r="F350">
        <v>4</v>
      </c>
      <c r="G350">
        <v>2000</v>
      </c>
      <c r="H350">
        <v>3000</v>
      </c>
      <c r="I350">
        <v>1000</v>
      </c>
      <c r="J350">
        <v>33</v>
      </c>
    </row>
    <row r="351" spans="1:10" x14ac:dyDescent="0.3">
      <c r="A351" s="2">
        <v>45618</v>
      </c>
      <c r="B351" t="s">
        <v>22</v>
      </c>
      <c r="C351" t="s">
        <v>37</v>
      </c>
      <c r="D351">
        <v>1000</v>
      </c>
      <c r="E351">
        <v>18</v>
      </c>
      <c r="F351">
        <v>7</v>
      </c>
      <c r="G351">
        <v>7000</v>
      </c>
      <c r="H351">
        <v>18000</v>
      </c>
      <c r="I351">
        <v>11000</v>
      </c>
      <c r="J351">
        <v>61</v>
      </c>
    </row>
    <row r="352" spans="1:10" x14ac:dyDescent="0.3">
      <c r="A352" s="2">
        <v>45619</v>
      </c>
      <c r="B352" t="s">
        <v>24</v>
      </c>
      <c r="C352" t="s">
        <v>36</v>
      </c>
      <c r="D352">
        <v>500</v>
      </c>
      <c r="E352">
        <v>6</v>
      </c>
      <c r="F352">
        <v>5</v>
      </c>
      <c r="G352">
        <v>2500</v>
      </c>
      <c r="H352">
        <v>3000</v>
      </c>
      <c r="I352">
        <v>500</v>
      </c>
      <c r="J352">
        <v>17</v>
      </c>
    </row>
    <row r="353" spans="1:10" x14ac:dyDescent="0.3">
      <c r="A353" s="2">
        <v>45619</v>
      </c>
      <c r="B353" t="s">
        <v>22</v>
      </c>
      <c r="C353" t="s">
        <v>25</v>
      </c>
      <c r="D353">
        <v>500</v>
      </c>
      <c r="E353">
        <v>13</v>
      </c>
      <c r="F353">
        <v>5</v>
      </c>
      <c r="G353">
        <v>2500</v>
      </c>
      <c r="H353">
        <v>6500</v>
      </c>
      <c r="I353">
        <v>4000</v>
      </c>
      <c r="J353">
        <v>62</v>
      </c>
    </row>
    <row r="354" spans="1:10" x14ac:dyDescent="0.3">
      <c r="A354" s="2">
        <v>45619</v>
      </c>
      <c r="B354" t="s">
        <v>23</v>
      </c>
      <c r="C354" t="s">
        <v>27</v>
      </c>
      <c r="D354">
        <v>2500</v>
      </c>
      <c r="E354">
        <v>9</v>
      </c>
      <c r="F354">
        <v>8</v>
      </c>
      <c r="G354">
        <v>20000</v>
      </c>
      <c r="H354">
        <v>22500</v>
      </c>
      <c r="I354">
        <v>2500</v>
      </c>
      <c r="J354">
        <v>11</v>
      </c>
    </row>
    <row r="355" spans="1:10" x14ac:dyDescent="0.3">
      <c r="A355" s="2">
        <v>45619</v>
      </c>
      <c r="B355" t="s">
        <v>23</v>
      </c>
      <c r="C355" t="s">
        <v>27</v>
      </c>
      <c r="D355">
        <v>1500</v>
      </c>
      <c r="E355">
        <v>11</v>
      </c>
      <c r="F355">
        <v>9</v>
      </c>
      <c r="G355">
        <v>13500</v>
      </c>
      <c r="H355">
        <v>16500</v>
      </c>
      <c r="I355">
        <v>3000</v>
      </c>
      <c r="J355">
        <v>18</v>
      </c>
    </row>
    <row r="356" spans="1:10" x14ac:dyDescent="0.3">
      <c r="A356" s="2">
        <v>45619</v>
      </c>
      <c r="B356" t="s">
        <v>24</v>
      </c>
      <c r="C356" t="s">
        <v>30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s="2">
        <v>45619</v>
      </c>
      <c r="B357" t="s">
        <v>23</v>
      </c>
      <c r="C357" t="s">
        <v>38</v>
      </c>
      <c r="D357">
        <v>1000</v>
      </c>
      <c r="E357">
        <v>5</v>
      </c>
      <c r="F357">
        <v>4</v>
      </c>
      <c r="G357">
        <v>4000</v>
      </c>
      <c r="H357">
        <v>5000</v>
      </c>
      <c r="I357">
        <v>1000</v>
      </c>
      <c r="J357">
        <v>20</v>
      </c>
    </row>
    <row r="358" spans="1:10" x14ac:dyDescent="0.3">
      <c r="A358" s="2">
        <v>45619</v>
      </c>
      <c r="B358" t="s">
        <v>22</v>
      </c>
      <c r="C358" t="s">
        <v>37</v>
      </c>
      <c r="D358">
        <v>2000</v>
      </c>
      <c r="E358">
        <v>17</v>
      </c>
      <c r="F358">
        <v>7</v>
      </c>
      <c r="G358">
        <v>14000</v>
      </c>
      <c r="H358">
        <v>34000</v>
      </c>
      <c r="I358">
        <v>20000</v>
      </c>
      <c r="J358">
        <v>59</v>
      </c>
    </row>
    <row r="359" spans="1:10" x14ac:dyDescent="0.3">
      <c r="A359" s="2">
        <v>45619</v>
      </c>
      <c r="B359" t="s">
        <v>23</v>
      </c>
      <c r="C359" t="s">
        <v>38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s="2">
        <v>45619</v>
      </c>
      <c r="B360" t="s">
        <v>22</v>
      </c>
      <c r="C360" t="s">
        <v>28</v>
      </c>
      <c r="D360">
        <v>500</v>
      </c>
      <c r="E360">
        <v>19</v>
      </c>
      <c r="F360">
        <v>6</v>
      </c>
      <c r="G360">
        <v>3000</v>
      </c>
      <c r="H360">
        <v>9500</v>
      </c>
      <c r="I360">
        <v>6500</v>
      </c>
      <c r="J360">
        <v>68</v>
      </c>
    </row>
    <row r="361" spans="1:10" x14ac:dyDescent="0.3">
      <c r="A361" s="2">
        <v>45619</v>
      </c>
      <c r="B361" t="s">
        <v>23</v>
      </c>
      <c r="C361" t="s">
        <v>29</v>
      </c>
      <c r="D361">
        <v>500</v>
      </c>
      <c r="E361">
        <v>18</v>
      </c>
      <c r="F361">
        <v>7</v>
      </c>
      <c r="G361">
        <v>3500</v>
      </c>
      <c r="H361">
        <v>9000</v>
      </c>
      <c r="I361">
        <v>5500</v>
      </c>
      <c r="J361">
        <v>61</v>
      </c>
    </row>
    <row r="362" spans="1:10" x14ac:dyDescent="0.3">
      <c r="A362" s="2">
        <v>45620</v>
      </c>
      <c r="B362" t="s">
        <v>22</v>
      </c>
      <c r="C362" t="s">
        <v>25</v>
      </c>
      <c r="D362">
        <v>1000</v>
      </c>
      <c r="E362">
        <v>11</v>
      </c>
      <c r="F362">
        <v>8</v>
      </c>
      <c r="G362">
        <v>8000</v>
      </c>
      <c r="H362">
        <v>11000</v>
      </c>
      <c r="I362">
        <v>3000</v>
      </c>
      <c r="J362">
        <v>27</v>
      </c>
    </row>
    <row r="363" spans="1:10" x14ac:dyDescent="0.3">
      <c r="A363" s="2">
        <v>45620</v>
      </c>
      <c r="B363" t="s">
        <v>23</v>
      </c>
      <c r="C363" t="s">
        <v>31</v>
      </c>
      <c r="D363">
        <v>2500</v>
      </c>
      <c r="E363">
        <v>16</v>
      </c>
      <c r="F363">
        <v>13</v>
      </c>
      <c r="G363">
        <v>32500</v>
      </c>
      <c r="H363">
        <v>40000</v>
      </c>
      <c r="I363">
        <v>7500</v>
      </c>
      <c r="J363">
        <v>19</v>
      </c>
    </row>
    <row r="364" spans="1:10" x14ac:dyDescent="0.3">
      <c r="A364" s="2">
        <v>45620</v>
      </c>
      <c r="B364" t="s">
        <v>23</v>
      </c>
      <c r="C364" t="s">
        <v>29</v>
      </c>
      <c r="D364">
        <v>500</v>
      </c>
      <c r="E364">
        <v>19</v>
      </c>
      <c r="F364">
        <v>7</v>
      </c>
      <c r="G364">
        <v>3500</v>
      </c>
      <c r="H364">
        <v>9500</v>
      </c>
      <c r="I364">
        <v>6000</v>
      </c>
      <c r="J364">
        <v>63</v>
      </c>
    </row>
    <row r="365" spans="1:10" x14ac:dyDescent="0.3">
      <c r="A365" s="2">
        <v>45621</v>
      </c>
      <c r="B365" t="s">
        <v>22</v>
      </c>
      <c r="C365" t="s">
        <v>25</v>
      </c>
      <c r="D365">
        <v>1500</v>
      </c>
      <c r="E365">
        <v>14</v>
      </c>
      <c r="F365">
        <v>10</v>
      </c>
      <c r="G365">
        <v>15000</v>
      </c>
      <c r="H365">
        <v>21000</v>
      </c>
      <c r="I365">
        <v>6000</v>
      </c>
      <c r="J365">
        <v>29</v>
      </c>
    </row>
    <row r="366" spans="1:10" x14ac:dyDescent="0.3">
      <c r="A366" s="2">
        <v>45621</v>
      </c>
      <c r="B366" t="s">
        <v>22</v>
      </c>
      <c r="C366" t="s">
        <v>34</v>
      </c>
      <c r="D366">
        <v>500</v>
      </c>
      <c r="E366">
        <v>5</v>
      </c>
      <c r="F366">
        <v>3</v>
      </c>
      <c r="G366">
        <v>1500</v>
      </c>
      <c r="H366">
        <v>2500</v>
      </c>
      <c r="I366">
        <v>1000</v>
      </c>
      <c r="J366">
        <v>40</v>
      </c>
    </row>
    <row r="367" spans="1:10" x14ac:dyDescent="0.3">
      <c r="A367" s="2">
        <v>45621</v>
      </c>
      <c r="B367" t="s">
        <v>23</v>
      </c>
      <c r="C367" t="s">
        <v>27</v>
      </c>
      <c r="D367">
        <v>1500</v>
      </c>
      <c r="E367">
        <v>6</v>
      </c>
      <c r="F367">
        <v>3</v>
      </c>
      <c r="G367">
        <v>4500</v>
      </c>
      <c r="H367">
        <v>9000</v>
      </c>
      <c r="I367">
        <v>4500</v>
      </c>
      <c r="J367">
        <v>50</v>
      </c>
    </row>
    <row r="368" spans="1:10" x14ac:dyDescent="0.3">
      <c r="A368" s="2">
        <v>45622</v>
      </c>
      <c r="B368" t="s">
        <v>22</v>
      </c>
      <c r="C368" t="s">
        <v>25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s="2">
        <v>45622</v>
      </c>
      <c r="B369" t="s">
        <v>22</v>
      </c>
      <c r="C369" t="s">
        <v>28</v>
      </c>
      <c r="D369">
        <v>2000</v>
      </c>
      <c r="E369">
        <v>6</v>
      </c>
      <c r="F369">
        <v>4</v>
      </c>
      <c r="G369">
        <v>8000</v>
      </c>
      <c r="H369">
        <v>12000</v>
      </c>
      <c r="I369">
        <v>4000</v>
      </c>
      <c r="J369">
        <v>33</v>
      </c>
    </row>
    <row r="370" spans="1:10" x14ac:dyDescent="0.3">
      <c r="A370" s="2">
        <v>45622</v>
      </c>
      <c r="B370" t="s">
        <v>23</v>
      </c>
      <c r="C370" t="s">
        <v>29</v>
      </c>
      <c r="D370">
        <v>500</v>
      </c>
      <c r="E370">
        <v>8</v>
      </c>
      <c r="F370">
        <v>6</v>
      </c>
      <c r="G370">
        <v>3000</v>
      </c>
      <c r="H370">
        <v>4000</v>
      </c>
      <c r="I370">
        <v>1000</v>
      </c>
      <c r="J370">
        <v>25</v>
      </c>
    </row>
    <row r="371" spans="1:10" x14ac:dyDescent="0.3">
      <c r="A371" s="2">
        <v>45622</v>
      </c>
      <c r="B371" t="s">
        <v>22</v>
      </c>
      <c r="C371" t="s">
        <v>33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s="2">
        <v>45622</v>
      </c>
      <c r="B372" t="s">
        <v>22</v>
      </c>
      <c r="C372" t="s">
        <v>25</v>
      </c>
      <c r="D372">
        <v>2000</v>
      </c>
      <c r="E372">
        <v>10</v>
      </c>
      <c r="F372">
        <v>6</v>
      </c>
      <c r="G372">
        <v>12000</v>
      </c>
      <c r="H372">
        <v>20000</v>
      </c>
      <c r="I372">
        <v>8000</v>
      </c>
      <c r="J372">
        <v>40</v>
      </c>
    </row>
    <row r="373" spans="1:10" x14ac:dyDescent="0.3">
      <c r="A373" s="2">
        <v>45622</v>
      </c>
      <c r="B373" t="s">
        <v>23</v>
      </c>
      <c r="C373" t="s">
        <v>29</v>
      </c>
      <c r="D373">
        <v>1500</v>
      </c>
      <c r="E373">
        <v>15</v>
      </c>
      <c r="F373">
        <v>5</v>
      </c>
      <c r="G373">
        <v>7500</v>
      </c>
      <c r="H373">
        <v>22500</v>
      </c>
      <c r="I373">
        <v>15000</v>
      </c>
      <c r="J373">
        <v>67</v>
      </c>
    </row>
    <row r="374" spans="1:10" x14ac:dyDescent="0.3">
      <c r="A374" s="2">
        <v>45622</v>
      </c>
      <c r="B374" t="s">
        <v>22</v>
      </c>
      <c r="C374" t="s">
        <v>25</v>
      </c>
      <c r="D374">
        <v>2000</v>
      </c>
      <c r="E374">
        <v>10</v>
      </c>
      <c r="F374">
        <v>8</v>
      </c>
      <c r="G374">
        <v>16000</v>
      </c>
      <c r="H374">
        <v>20000</v>
      </c>
      <c r="I374">
        <v>4000</v>
      </c>
      <c r="J374">
        <v>20</v>
      </c>
    </row>
    <row r="375" spans="1:10" x14ac:dyDescent="0.3">
      <c r="A375" s="2">
        <v>45622</v>
      </c>
      <c r="B375" t="s">
        <v>22</v>
      </c>
      <c r="C375" t="s">
        <v>33</v>
      </c>
      <c r="D375">
        <v>1500</v>
      </c>
      <c r="E375">
        <v>9</v>
      </c>
      <c r="F375">
        <v>7</v>
      </c>
      <c r="G375">
        <v>10500</v>
      </c>
      <c r="H375">
        <v>13500</v>
      </c>
      <c r="I375">
        <v>3000</v>
      </c>
      <c r="J375">
        <v>22</v>
      </c>
    </row>
    <row r="376" spans="1:10" x14ac:dyDescent="0.3">
      <c r="A376" s="2">
        <v>45622</v>
      </c>
      <c r="B376" t="s">
        <v>24</v>
      </c>
      <c r="C376" t="s">
        <v>36</v>
      </c>
      <c r="D376">
        <v>2500</v>
      </c>
      <c r="E376">
        <v>15</v>
      </c>
      <c r="F376">
        <v>6</v>
      </c>
      <c r="G376">
        <v>15000</v>
      </c>
      <c r="H376">
        <v>37500</v>
      </c>
      <c r="I376">
        <v>22500</v>
      </c>
      <c r="J376">
        <v>60</v>
      </c>
    </row>
    <row r="377" spans="1:10" x14ac:dyDescent="0.3">
      <c r="A377" s="2">
        <v>45622</v>
      </c>
      <c r="B377" t="s">
        <v>24</v>
      </c>
      <c r="C377" t="s">
        <v>32</v>
      </c>
      <c r="D377">
        <v>1000</v>
      </c>
      <c r="E377">
        <v>14</v>
      </c>
      <c r="F377">
        <v>12</v>
      </c>
      <c r="G377">
        <v>12000</v>
      </c>
      <c r="H377">
        <v>14000</v>
      </c>
      <c r="I377">
        <v>2000</v>
      </c>
      <c r="J377">
        <v>14</v>
      </c>
    </row>
    <row r="378" spans="1:10" x14ac:dyDescent="0.3">
      <c r="A378" s="2">
        <v>45622</v>
      </c>
      <c r="B378" t="s">
        <v>24</v>
      </c>
      <c r="C378" t="s">
        <v>39</v>
      </c>
      <c r="D378">
        <v>500</v>
      </c>
      <c r="E378">
        <v>6</v>
      </c>
      <c r="F378">
        <v>3</v>
      </c>
      <c r="G378">
        <v>1500</v>
      </c>
      <c r="H378">
        <v>3000</v>
      </c>
      <c r="I378">
        <v>1500</v>
      </c>
      <c r="J378">
        <v>50</v>
      </c>
    </row>
    <row r="379" spans="1:10" x14ac:dyDescent="0.3">
      <c r="A379" s="2">
        <v>45622</v>
      </c>
      <c r="B379" t="s">
        <v>23</v>
      </c>
      <c r="C379" t="s">
        <v>29</v>
      </c>
      <c r="D379">
        <v>2000</v>
      </c>
      <c r="E379">
        <v>19</v>
      </c>
      <c r="F379">
        <v>18</v>
      </c>
      <c r="G379">
        <v>36000</v>
      </c>
      <c r="H379">
        <v>38000</v>
      </c>
      <c r="I379">
        <v>2000</v>
      </c>
      <c r="J379">
        <v>5</v>
      </c>
    </row>
    <row r="380" spans="1:10" x14ac:dyDescent="0.3">
      <c r="A380" s="2">
        <v>45622</v>
      </c>
      <c r="B380" t="s">
        <v>24</v>
      </c>
      <c r="C380" t="s">
        <v>35</v>
      </c>
      <c r="D380">
        <v>1500</v>
      </c>
      <c r="E380">
        <v>20</v>
      </c>
      <c r="F380">
        <v>8</v>
      </c>
      <c r="G380">
        <v>12000</v>
      </c>
      <c r="H380">
        <v>30000</v>
      </c>
      <c r="I380">
        <v>18000</v>
      </c>
      <c r="J380">
        <v>60</v>
      </c>
    </row>
    <row r="381" spans="1:10" x14ac:dyDescent="0.3">
      <c r="A381" s="2">
        <v>45623</v>
      </c>
      <c r="B381" t="s">
        <v>23</v>
      </c>
      <c r="C381" t="s">
        <v>29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 s="2">
        <v>45623</v>
      </c>
      <c r="B382" t="s">
        <v>22</v>
      </c>
      <c r="C382" t="s">
        <v>33</v>
      </c>
      <c r="D382">
        <v>2000</v>
      </c>
      <c r="E382">
        <v>6</v>
      </c>
      <c r="F382">
        <v>4</v>
      </c>
      <c r="G382">
        <v>8000</v>
      </c>
      <c r="H382">
        <v>12000</v>
      </c>
      <c r="I382">
        <v>4000</v>
      </c>
      <c r="J382">
        <v>33</v>
      </c>
    </row>
    <row r="383" spans="1:10" x14ac:dyDescent="0.3">
      <c r="A383" s="2">
        <v>45623</v>
      </c>
      <c r="B383" t="s">
        <v>24</v>
      </c>
      <c r="C383" t="s">
        <v>36</v>
      </c>
      <c r="D383">
        <v>2500</v>
      </c>
      <c r="E383">
        <v>17</v>
      </c>
      <c r="F383">
        <v>7</v>
      </c>
      <c r="G383">
        <v>17500</v>
      </c>
      <c r="H383">
        <v>42500</v>
      </c>
      <c r="I383">
        <v>25000</v>
      </c>
      <c r="J383">
        <v>59</v>
      </c>
    </row>
    <row r="384" spans="1:10" x14ac:dyDescent="0.3">
      <c r="A384" s="2">
        <v>45623</v>
      </c>
      <c r="B384" t="s">
        <v>23</v>
      </c>
      <c r="C384" t="s">
        <v>29</v>
      </c>
      <c r="D384">
        <v>1000</v>
      </c>
      <c r="E384">
        <v>16</v>
      </c>
      <c r="F384">
        <v>12</v>
      </c>
      <c r="G384">
        <v>12000</v>
      </c>
      <c r="H384">
        <v>16000</v>
      </c>
      <c r="I384">
        <v>4000</v>
      </c>
      <c r="J384">
        <v>25</v>
      </c>
    </row>
    <row r="385" spans="1:10" x14ac:dyDescent="0.3">
      <c r="A385" s="2">
        <v>45624</v>
      </c>
      <c r="B385" t="s">
        <v>22</v>
      </c>
      <c r="C385" t="s">
        <v>25</v>
      </c>
      <c r="D385">
        <v>500</v>
      </c>
      <c r="E385">
        <v>5</v>
      </c>
      <c r="F385">
        <v>4</v>
      </c>
      <c r="G385">
        <v>2000</v>
      </c>
      <c r="H385">
        <v>2500</v>
      </c>
      <c r="I385">
        <v>500</v>
      </c>
      <c r="J385">
        <v>20</v>
      </c>
    </row>
    <row r="386" spans="1:10" x14ac:dyDescent="0.3">
      <c r="A386" s="2">
        <v>45624</v>
      </c>
      <c r="B386" t="s">
        <v>23</v>
      </c>
      <c r="C386" t="s">
        <v>29</v>
      </c>
      <c r="D386">
        <v>1500</v>
      </c>
      <c r="E386">
        <v>7</v>
      </c>
      <c r="F386">
        <v>4</v>
      </c>
      <c r="G386">
        <v>6000</v>
      </c>
      <c r="H386">
        <v>10500</v>
      </c>
      <c r="I386">
        <v>4500</v>
      </c>
      <c r="J386">
        <v>43</v>
      </c>
    </row>
    <row r="387" spans="1:10" x14ac:dyDescent="0.3">
      <c r="A387" s="2">
        <v>45624</v>
      </c>
      <c r="B387" t="s">
        <v>24</v>
      </c>
      <c r="C387" t="s">
        <v>32</v>
      </c>
      <c r="D387">
        <v>1000</v>
      </c>
      <c r="E387">
        <v>12</v>
      </c>
      <c r="F387">
        <v>8</v>
      </c>
      <c r="G387">
        <v>8000</v>
      </c>
      <c r="H387">
        <v>12000</v>
      </c>
      <c r="I387">
        <v>4000</v>
      </c>
      <c r="J387">
        <v>33</v>
      </c>
    </row>
    <row r="388" spans="1:10" x14ac:dyDescent="0.3">
      <c r="A388" s="2">
        <v>45624</v>
      </c>
      <c r="B388" t="s">
        <v>23</v>
      </c>
      <c r="C388" t="s">
        <v>31</v>
      </c>
      <c r="D388">
        <v>500</v>
      </c>
      <c r="E388">
        <v>20</v>
      </c>
      <c r="F388">
        <v>13</v>
      </c>
      <c r="G388">
        <v>6500</v>
      </c>
      <c r="H388">
        <v>10000</v>
      </c>
      <c r="I388">
        <v>3500</v>
      </c>
      <c r="J388">
        <v>35</v>
      </c>
    </row>
    <row r="389" spans="1:10" x14ac:dyDescent="0.3">
      <c r="A389" s="2">
        <v>45625</v>
      </c>
      <c r="B389" t="s">
        <v>24</v>
      </c>
      <c r="C389" t="s">
        <v>30</v>
      </c>
      <c r="D389">
        <v>2500</v>
      </c>
      <c r="E389">
        <v>5</v>
      </c>
      <c r="F389">
        <v>3</v>
      </c>
      <c r="G389">
        <v>7500</v>
      </c>
      <c r="H389">
        <v>12500</v>
      </c>
      <c r="I389">
        <v>5000</v>
      </c>
      <c r="J389">
        <v>40</v>
      </c>
    </row>
    <row r="390" spans="1:10" x14ac:dyDescent="0.3">
      <c r="A390" s="2">
        <v>45625</v>
      </c>
      <c r="B390" t="s">
        <v>24</v>
      </c>
      <c r="C390" t="s">
        <v>35</v>
      </c>
      <c r="D390">
        <v>1000</v>
      </c>
      <c r="E390">
        <v>20</v>
      </c>
      <c r="F390">
        <v>15</v>
      </c>
      <c r="G390">
        <v>15000</v>
      </c>
      <c r="H390">
        <v>20000</v>
      </c>
      <c r="I390">
        <v>5000</v>
      </c>
      <c r="J390">
        <v>25</v>
      </c>
    </row>
    <row r="391" spans="1:10" x14ac:dyDescent="0.3">
      <c r="A391" s="2">
        <v>45625</v>
      </c>
      <c r="B391" t="s">
        <v>22</v>
      </c>
      <c r="C391" t="s">
        <v>37</v>
      </c>
      <c r="D391">
        <v>1500</v>
      </c>
      <c r="E391">
        <v>7</v>
      </c>
      <c r="F391">
        <v>5</v>
      </c>
      <c r="G391">
        <v>7500</v>
      </c>
      <c r="H391">
        <v>10500</v>
      </c>
      <c r="I391">
        <v>3000</v>
      </c>
      <c r="J391">
        <v>29</v>
      </c>
    </row>
    <row r="392" spans="1:10" x14ac:dyDescent="0.3">
      <c r="A392" s="2">
        <v>45625</v>
      </c>
      <c r="B392" t="s">
        <v>22</v>
      </c>
      <c r="C392" t="s">
        <v>28</v>
      </c>
      <c r="D392">
        <v>1000</v>
      </c>
      <c r="E392">
        <v>20</v>
      </c>
      <c r="F392">
        <v>15</v>
      </c>
      <c r="G392">
        <v>15000</v>
      </c>
      <c r="H392">
        <v>20000</v>
      </c>
      <c r="I392">
        <v>5000</v>
      </c>
      <c r="J392">
        <v>25</v>
      </c>
    </row>
    <row r="393" spans="1:10" x14ac:dyDescent="0.3">
      <c r="A393" s="2">
        <v>45625</v>
      </c>
      <c r="B393" t="s">
        <v>23</v>
      </c>
      <c r="C393" t="s">
        <v>26</v>
      </c>
      <c r="D393">
        <v>1000</v>
      </c>
      <c r="E393">
        <v>19</v>
      </c>
      <c r="F393">
        <v>3</v>
      </c>
      <c r="G393">
        <v>3000</v>
      </c>
      <c r="H393">
        <v>19000</v>
      </c>
      <c r="I393">
        <v>16000</v>
      </c>
      <c r="J393">
        <v>84</v>
      </c>
    </row>
    <row r="394" spans="1:10" x14ac:dyDescent="0.3">
      <c r="A394" s="2">
        <v>45626</v>
      </c>
      <c r="B394" t="s">
        <v>22</v>
      </c>
      <c r="C394" t="s">
        <v>34</v>
      </c>
      <c r="D394">
        <v>500</v>
      </c>
      <c r="E394">
        <v>9</v>
      </c>
      <c r="F394">
        <v>5</v>
      </c>
      <c r="G394">
        <v>2500</v>
      </c>
      <c r="H394">
        <v>4500</v>
      </c>
      <c r="I394">
        <v>2000</v>
      </c>
      <c r="J394">
        <v>44</v>
      </c>
    </row>
    <row r="395" spans="1:10" x14ac:dyDescent="0.3">
      <c r="A395" s="2">
        <v>45626</v>
      </c>
      <c r="B395" t="s">
        <v>23</v>
      </c>
      <c r="C395" t="s">
        <v>31</v>
      </c>
      <c r="D395">
        <v>1000</v>
      </c>
      <c r="E395">
        <v>8</v>
      </c>
      <c r="F395">
        <v>7</v>
      </c>
      <c r="G395">
        <v>7000</v>
      </c>
      <c r="H395">
        <v>8000</v>
      </c>
      <c r="I395">
        <v>1000</v>
      </c>
      <c r="J395">
        <v>12</v>
      </c>
    </row>
    <row r="396" spans="1:10" x14ac:dyDescent="0.3">
      <c r="A396" s="2">
        <v>45626</v>
      </c>
      <c r="B396" t="s">
        <v>23</v>
      </c>
      <c r="C396" t="s">
        <v>27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">
      <c r="A397" s="2">
        <v>45626</v>
      </c>
      <c r="B397" t="s">
        <v>23</v>
      </c>
      <c r="C397" t="s">
        <v>27</v>
      </c>
      <c r="D397">
        <v>2500</v>
      </c>
      <c r="E397">
        <v>14</v>
      </c>
      <c r="F397">
        <v>11</v>
      </c>
      <c r="G397">
        <v>27500</v>
      </c>
      <c r="H397">
        <v>35000</v>
      </c>
      <c r="I397">
        <v>7500</v>
      </c>
      <c r="J397">
        <v>21</v>
      </c>
    </row>
    <row r="398" spans="1:10" x14ac:dyDescent="0.3">
      <c r="A398" s="2">
        <v>45626</v>
      </c>
      <c r="B398" t="s">
        <v>22</v>
      </c>
      <c r="C398" t="s">
        <v>33</v>
      </c>
      <c r="D398">
        <v>1000</v>
      </c>
      <c r="E398">
        <v>19</v>
      </c>
      <c r="F398">
        <v>6</v>
      </c>
      <c r="G398">
        <v>6000</v>
      </c>
      <c r="H398">
        <v>19000</v>
      </c>
      <c r="I398">
        <v>13000</v>
      </c>
      <c r="J398">
        <v>68</v>
      </c>
    </row>
    <row r="399" spans="1:10" x14ac:dyDescent="0.3">
      <c r="A399" s="2">
        <v>45626</v>
      </c>
      <c r="B399" t="s">
        <v>23</v>
      </c>
      <c r="C399" t="s">
        <v>29</v>
      </c>
      <c r="D399">
        <v>1000</v>
      </c>
      <c r="E399">
        <v>19</v>
      </c>
      <c r="F399">
        <v>10</v>
      </c>
      <c r="G399">
        <v>10000</v>
      </c>
      <c r="H399">
        <v>19000</v>
      </c>
      <c r="I399">
        <v>9000</v>
      </c>
      <c r="J399">
        <v>47</v>
      </c>
    </row>
    <row r="400" spans="1:10" x14ac:dyDescent="0.3">
      <c r="A400" s="2">
        <v>45626</v>
      </c>
      <c r="B400" t="s">
        <v>22</v>
      </c>
      <c r="C400" t="s">
        <v>34</v>
      </c>
      <c r="D400">
        <v>1500</v>
      </c>
      <c r="E400">
        <v>14</v>
      </c>
      <c r="F400">
        <v>6</v>
      </c>
      <c r="G400">
        <v>9000</v>
      </c>
      <c r="H400">
        <v>21000</v>
      </c>
      <c r="I400">
        <v>12000</v>
      </c>
      <c r="J400">
        <v>57</v>
      </c>
    </row>
    <row r="401" spans="1:10" x14ac:dyDescent="0.3">
      <c r="A401" s="2">
        <v>45626</v>
      </c>
      <c r="B401" t="s">
        <v>22</v>
      </c>
      <c r="C401" t="s">
        <v>33</v>
      </c>
      <c r="D401">
        <v>500</v>
      </c>
      <c r="E401">
        <v>16</v>
      </c>
      <c r="F401">
        <v>15</v>
      </c>
      <c r="G401">
        <v>7500</v>
      </c>
      <c r="H401">
        <v>8000</v>
      </c>
      <c r="I401">
        <v>500</v>
      </c>
      <c r="J401">
        <v>6</v>
      </c>
    </row>
    <row r="402" spans="1:10" x14ac:dyDescent="0.3">
      <c r="A402" s="2">
        <v>45626</v>
      </c>
      <c r="B402" t="s">
        <v>23</v>
      </c>
      <c r="C402" t="s">
        <v>29</v>
      </c>
      <c r="D402">
        <v>2500</v>
      </c>
      <c r="E402">
        <v>11</v>
      </c>
      <c r="F402">
        <v>9</v>
      </c>
      <c r="G402">
        <v>22500</v>
      </c>
      <c r="H402">
        <v>27500</v>
      </c>
      <c r="I402">
        <v>5000</v>
      </c>
      <c r="J402">
        <v>18</v>
      </c>
    </row>
    <row r="403" spans="1:10" x14ac:dyDescent="0.3">
      <c r="A403" s="2">
        <v>45626</v>
      </c>
      <c r="B403" t="s">
        <v>23</v>
      </c>
      <c r="C403" t="s">
        <v>27</v>
      </c>
      <c r="D403">
        <v>1500</v>
      </c>
      <c r="E403">
        <v>9</v>
      </c>
      <c r="F403">
        <v>3</v>
      </c>
      <c r="G403">
        <v>4500</v>
      </c>
      <c r="H403">
        <v>13500</v>
      </c>
      <c r="I403">
        <v>9000</v>
      </c>
      <c r="J403">
        <v>67</v>
      </c>
    </row>
    <row r="404" spans="1:10" x14ac:dyDescent="0.3">
      <c r="A404" s="2">
        <v>45626</v>
      </c>
      <c r="B404" t="s">
        <v>22</v>
      </c>
      <c r="C404" t="s">
        <v>33</v>
      </c>
      <c r="D404">
        <v>2000</v>
      </c>
      <c r="E404">
        <v>16</v>
      </c>
      <c r="F404">
        <v>13</v>
      </c>
      <c r="G404">
        <v>26000</v>
      </c>
      <c r="H404">
        <v>32000</v>
      </c>
      <c r="I404">
        <v>6000</v>
      </c>
      <c r="J404">
        <v>19</v>
      </c>
    </row>
    <row r="405" spans="1:10" x14ac:dyDescent="0.3">
      <c r="A405" s="2">
        <v>45626</v>
      </c>
      <c r="B405" t="s">
        <v>23</v>
      </c>
      <c r="C405" t="s">
        <v>29</v>
      </c>
      <c r="D405">
        <v>1500</v>
      </c>
      <c r="E405">
        <v>10</v>
      </c>
      <c r="F405">
        <v>3</v>
      </c>
      <c r="G405">
        <v>4500</v>
      </c>
      <c r="H405">
        <v>15000</v>
      </c>
      <c r="I405">
        <v>10500</v>
      </c>
      <c r="J405">
        <v>70</v>
      </c>
    </row>
    <row r="406" spans="1:10" x14ac:dyDescent="0.3">
      <c r="A406" s="2">
        <v>45627</v>
      </c>
      <c r="B406" t="s">
        <v>23</v>
      </c>
      <c r="C406" t="s">
        <v>26</v>
      </c>
      <c r="D406">
        <v>1000</v>
      </c>
      <c r="E406">
        <v>15</v>
      </c>
      <c r="F406">
        <v>10</v>
      </c>
      <c r="G406">
        <v>10000</v>
      </c>
      <c r="H406">
        <v>15000</v>
      </c>
      <c r="I406">
        <v>5000</v>
      </c>
      <c r="J406">
        <v>33</v>
      </c>
    </row>
    <row r="407" spans="1:10" x14ac:dyDescent="0.3">
      <c r="A407" s="2">
        <v>45627</v>
      </c>
      <c r="B407" t="s">
        <v>23</v>
      </c>
      <c r="C407" t="s">
        <v>27</v>
      </c>
      <c r="D407">
        <v>500</v>
      </c>
      <c r="E407">
        <v>18</v>
      </c>
      <c r="F407">
        <v>7</v>
      </c>
      <c r="G407">
        <v>3500</v>
      </c>
      <c r="H407">
        <v>9000</v>
      </c>
      <c r="I407">
        <v>5500</v>
      </c>
      <c r="J407">
        <v>61</v>
      </c>
    </row>
    <row r="408" spans="1:10" x14ac:dyDescent="0.3">
      <c r="A408" s="2">
        <v>45627</v>
      </c>
      <c r="B408" t="s">
        <v>22</v>
      </c>
      <c r="C408" t="s">
        <v>34</v>
      </c>
      <c r="D408">
        <v>1500</v>
      </c>
      <c r="E408">
        <v>5</v>
      </c>
      <c r="F408">
        <v>4</v>
      </c>
      <c r="G408">
        <v>6000</v>
      </c>
      <c r="H408">
        <v>7500</v>
      </c>
      <c r="I408">
        <v>1500</v>
      </c>
      <c r="J408">
        <v>20</v>
      </c>
    </row>
    <row r="409" spans="1:10" x14ac:dyDescent="0.3">
      <c r="A409" s="2">
        <v>45627</v>
      </c>
      <c r="B409" t="s">
        <v>22</v>
      </c>
      <c r="C409" t="s">
        <v>37</v>
      </c>
      <c r="D409">
        <v>2000</v>
      </c>
      <c r="E409">
        <v>12</v>
      </c>
      <c r="F409">
        <v>7</v>
      </c>
      <c r="G409">
        <v>14000</v>
      </c>
      <c r="H409">
        <v>24000</v>
      </c>
      <c r="I409">
        <v>10000</v>
      </c>
      <c r="J409">
        <v>42</v>
      </c>
    </row>
    <row r="410" spans="1:10" x14ac:dyDescent="0.3">
      <c r="A410" s="2">
        <v>45627</v>
      </c>
      <c r="B410" t="s">
        <v>22</v>
      </c>
      <c r="C410" t="s">
        <v>28</v>
      </c>
      <c r="D410">
        <v>2000</v>
      </c>
      <c r="E410">
        <v>19</v>
      </c>
      <c r="F410">
        <v>4</v>
      </c>
      <c r="G410">
        <v>8000</v>
      </c>
      <c r="H410">
        <v>38000</v>
      </c>
      <c r="I410">
        <v>30000</v>
      </c>
      <c r="J410">
        <v>79</v>
      </c>
    </row>
    <row r="411" spans="1:10" x14ac:dyDescent="0.3">
      <c r="A411" s="2">
        <v>45627</v>
      </c>
      <c r="B411" t="s">
        <v>22</v>
      </c>
      <c r="C411" t="s">
        <v>25</v>
      </c>
      <c r="D411">
        <v>2500</v>
      </c>
      <c r="E411">
        <v>18</v>
      </c>
      <c r="F411">
        <v>4</v>
      </c>
      <c r="G411">
        <v>10000</v>
      </c>
      <c r="H411">
        <v>45000</v>
      </c>
      <c r="I411">
        <v>35000</v>
      </c>
      <c r="J411">
        <v>78</v>
      </c>
    </row>
    <row r="412" spans="1:10" x14ac:dyDescent="0.3">
      <c r="A412" s="2">
        <v>45627</v>
      </c>
      <c r="B412" t="s">
        <v>22</v>
      </c>
      <c r="C412" t="s">
        <v>34</v>
      </c>
      <c r="D412">
        <v>2500</v>
      </c>
      <c r="E412">
        <v>15</v>
      </c>
      <c r="F412">
        <v>9</v>
      </c>
      <c r="G412">
        <v>22500</v>
      </c>
      <c r="H412">
        <v>37500</v>
      </c>
      <c r="I412">
        <v>15000</v>
      </c>
      <c r="J412">
        <v>40</v>
      </c>
    </row>
    <row r="413" spans="1:10" x14ac:dyDescent="0.3">
      <c r="A413" s="2">
        <v>45628</v>
      </c>
      <c r="B413" t="s">
        <v>23</v>
      </c>
      <c r="C413" t="s">
        <v>26</v>
      </c>
      <c r="D413">
        <v>2000</v>
      </c>
      <c r="E413">
        <v>17</v>
      </c>
      <c r="F413">
        <v>12</v>
      </c>
      <c r="G413">
        <v>24000</v>
      </c>
      <c r="H413">
        <v>34000</v>
      </c>
      <c r="I413">
        <v>10000</v>
      </c>
      <c r="J413">
        <v>29</v>
      </c>
    </row>
    <row r="414" spans="1:10" x14ac:dyDescent="0.3">
      <c r="A414" s="2">
        <v>45628</v>
      </c>
      <c r="B414" t="s">
        <v>22</v>
      </c>
      <c r="C414" t="s">
        <v>33</v>
      </c>
      <c r="D414">
        <v>2000</v>
      </c>
      <c r="E414">
        <v>20</v>
      </c>
      <c r="F414">
        <v>8</v>
      </c>
      <c r="G414">
        <v>16000</v>
      </c>
      <c r="H414">
        <v>40000</v>
      </c>
      <c r="I414">
        <v>24000</v>
      </c>
      <c r="J414">
        <v>60</v>
      </c>
    </row>
    <row r="415" spans="1:10" x14ac:dyDescent="0.3">
      <c r="A415" s="2">
        <v>45628</v>
      </c>
      <c r="B415" t="s">
        <v>24</v>
      </c>
      <c r="C415" t="s">
        <v>35</v>
      </c>
      <c r="D415">
        <v>2000</v>
      </c>
      <c r="E415">
        <v>17</v>
      </c>
      <c r="F415">
        <v>7</v>
      </c>
      <c r="G415">
        <v>14000</v>
      </c>
      <c r="H415">
        <v>34000</v>
      </c>
      <c r="I415">
        <v>20000</v>
      </c>
      <c r="J415">
        <v>59</v>
      </c>
    </row>
    <row r="416" spans="1:10" x14ac:dyDescent="0.3">
      <c r="A416" s="2">
        <v>45628</v>
      </c>
      <c r="B416" t="s">
        <v>22</v>
      </c>
      <c r="C416" t="s">
        <v>33</v>
      </c>
      <c r="D416">
        <v>500</v>
      </c>
      <c r="E416">
        <v>11</v>
      </c>
      <c r="F416">
        <v>9</v>
      </c>
      <c r="G416">
        <v>4500</v>
      </c>
      <c r="H416">
        <v>5500</v>
      </c>
      <c r="I416">
        <v>1000</v>
      </c>
      <c r="J416">
        <v>18</v>
      </c>
    </row>
    <row r="417" spans="1:10" x14ac:dyDescent="0.3">
      <c r="A417" s="2">
        <v>45628</v>
      </c>
      <c r="B417" t="s">
        <v>22</v>
      </c>
      <c r="C417" t="s">
        <v>34</v>
      </c>
      <c r="D417">
        <v>1000</v>
      </c>
      <c r="E417">
        <v>17</v>
      </c>
      <c r="F417">
        <v>11</v>
      </c>
      <c r="G417">
        <v>11000</v>
      </c>
      <c r="H417">
        <v>17000</v>
      </c>
      <c r="I417">
        <v>6000</v>
      </c>
      <c r="J417">
        <v>35</v>
      </c>
    </row>
    <row r="418" spans="1:10" x14ac:dyDescent="0.3">
      <c r="A418" s="2">
        <v>45628</v>
      </c>
      <c r="B418" t="s">
        <v>22</v>
      </c>
      <c r="C418" t="s">
        <v>33</v>
      </c>
      <c r="D418">
        <v>2000</v>
      </c>
      <c r="E418">
        <v>10</v>
      </c>
      <c r="F418">
        <v>7</v>
      </c>
      <c r="G418">
        <v>14000</v>
      </c>
      <c r="H418">
        <v>20000</v>
      </c>
      <c r="I418">
        <v>6000</v>
      </c>
      <c r="J418">
        <v>30</v>
      </c>
    </row>
    <row r="419" spans="1:10" x14ac:dyDescent="0.3">
      <c r="A419" s="2">
        <v>45628</v>
      </c>
      <c r="B419" t="s">
        <v>24</v>
      </c>
      <c r="C419" t="s">
        <v>35</v>
      </c>
      <c r="D419">
        <v>1000</v>
      </c>
      <c r="E419">
        <v>10</v>
      </c>
      <c r="F419">
        <v>4</v>
      </c>
      <c r="G419">
        <v>4000</v>
      </c>
      <c r="H419">
        <v>10000</v>
      </c>
      <c r="I419">
        <v>6000</v>
      </c>
      <c r="J419">
        <v>60</v>
      </c>
    </row>
    <row r="420" spans="1:10" x14ac:dyDescent="0.3">
      <c r="A420" s="2">
        <v>45629</v>
      </c>
      <c r="B420" t="s">
        <v>24</v>
      </c>
      <c r="C420" t="s">
        <v>30</v>
      </c>
      <c r="D420">
        <v>1500</v>
      </c>
      <c r="E420">
        <v>12</v>
      </c>
      <c r="F420">
        <v>11</v>
      </c>
      <c r="G420">
        <v>16500</v>
      </c>
      <c r="H420">
        <v>18000</v>
      </c>
      <c r="I420">
        <v>1500</v>
      </c>
      <c r="J420">
        <v>8</v>
      </c>
    </row>
    <row r="421" spans="1:10" x14ac:dyDescent="0.3">
      <c r="A421" s="2">
        <v>45629</v>
      </c>
      <c r="B421" t="s">
        <v>23</v>
      </c>
      <c r="C421" t="s">
        <v>26</v>
      </c>
      <c r="D421">
        <v>2500</v>
      </c>
      <c r="E421">
        <v>11</v>
      </c>
      <c r="F421">
        <v>3</v>
      </c>
      <c r="G421">
        <v>7500</v>
      </c>
      <c r="H421">
        <v>27500</v>
      </c>
      <c r="I421">
        <v>20000</v>
      </c>
      <c r="J421">
        <v>73</v>
      </c>
    </row>
    <row r="422" spans="1:10" x14ac:dyDescent="0.3">
      <c r="A422" s="2">
        <v>45629</v>
      </c>
      <c r="B422" t="s">
        <v>22</v>
      </c>
      <c r="C422" t="s">
        <v>33</v>
      </c>
      <c r="D422">
        <v>1500</v>
      </c>
      <c r="E422">
        <v>16</v>
      </c>
      <c r="F422">
        <v>5</v>
      </c>
      <c r="G422">
        <v>7500</v>
      </c>
      <c r="H422">
        <v>24000</v>
      </c>
      <c r="I422">
        <v>16500</v>
      </c>
      <c r="J422">
        <v>69</v>
      </c>
    </row>
    <row r="423" spans="1:10" x14ac:dyDescent="0.3">
      <c r="A423" s="2">
        <v>45629</v>
      </c>
      <c r="B423" t="s">
        <v>22</v>
      </c>
      <c r="C423" t="s">
        <v>37</v>
      </c>
      <c r="D423">
        <v>2000</v>
      </c>
      <c r="E423">
        <v>6</v>
      </c>
      <c r="F423">
        <v>5</v>
      </c>
      <c r="G423">
        <v>10000</v>
      </c>
      <c r="H423">
        <v>12000</v>
      </c>
      <c r="I423">
        <v>2000</v>
      </c>
      <c r="J423">
        <v>17</v>
      </c>
    </row>
    <row r="424" spans="1:10" x14ac:dyDescent="0.3">
      <c r="A424" s="2">
        <v>45629</v>
      </c>
      <c r="B424" t="s">
        <v>23</v>
      </c>
      <c r="C424" t="s">
        <v>26</v>
      </c>
      <c r="D424">
        <v>1000</v>
      </c>
      <c r="E424">
        <v>17</v>
      </c>
      <c r="F424">
        <v>7</v>
      </c>
      <c r="G424">
        <v>7000</v>
      </c>
      <c r="H424">
        <v>17000</v>
      </c>
      <c r="I424">
        <v>10000</v>
      </c>
      <c r="J424">
        <v>59</v>
      </c>
    </row>
    <row r="425" spans="1:10" x14ac:dyDescent="0.3">
      <c r="A425" s="2">
        <v>45629</v>
      </c>
      <c r="B425" t="s">
        <v>23</v>
      </c>
      <c r="C425" t="s">
        <v>26</v>
      </c>
      <c r="D425">
        <v>1500</v>
      </c>
      <c r="E425">
        <v>14</v>
      </c>
      <c r="F425">
        <v>7</v>
      </c>
      <c r="G425">
        <v>10500</v>
      </c>
      <c r="H425">
        <v>21000</v>
      </c>
      <c r="I425">
        <v>10500</v>
      </c>
      <c r="J425">
        <v>50</v>
      </c>
    </row>
    <row r="426" spans="1:10" x14ac:dyDescent="0.3">
      <c r="A426" s="2">
        <v>45629</v>
      </c>
      <c r="B426" t="s">
        <v>24</v>
      </c>
      <c r="C426" t="s">
        <v>32</v>
      </c>
      <c r="D426">
        <v>2000</v>
      </c>
      <c r="E426">
        <v>20</v>
      </c>
      <c r="F426">
        <v>14</v>
      </c>
      <c r="G426">
        <v>28000</v>
      </c>
      <c r="H426">
        <v>40000</v>
      </c>
      <c r="I426">
        <v>12000</v>
      </c>
      <c r="J426">
        <v>30</v>
      </c>
    </row>
    <row r="427" spans="1:10" x14ac:dyDescent="0.3">
      <c r="A427" s="2">
        <v>45630</v>
      </c>
      <c r="B427" t="s">
        <v>23</v>
      </c>
      <c r="C427" t="s">
        <v>27</v>
      </c>
      <c r="D427">
        <v>500</v>
      </c>
      <c r="E427">
        <v>11</v>
      </c>
      <c r="F427">
        <v>9</v>
      </c>
      <c r="G427">
        <v>4500</v>
      </c>
      <c r="H427">
        <v>5500</v>
      </c>
      <c r="I427">
        <v>1000</v>
      </c>
      <c r="J427">
        <v>18</v>
      </c>
    </row>
    <row r="428" spans="1:10" x14ac:dyDescent="0.3">
      <c r="A428" s="2">
        <v>45630</v>
      </c>
      <c r="B428" t="s">
        <v>23</v>
      </c>
      <c r="C428" t="s">
        <v>31</v>
      </c>
      <c r="D428">
        <v>1000</v>
      </c>
      <c r="E428">
        <v>5</v>
      </c>
      <c r="F428">
        <v>4</v>
      </c>
      <c r="G428">
        <v>4000</v>
      </c>
      <c r="H428">
        <v>5000</v>
      </c>
      <c r="I428">
        <v>1000</v>
      </c>
      <c r="J428">
        <v>20</v>
      </c>
    </row>
    <row r="429" spans="1:10" x14ac:dyDescent="0.3">
      <c r="A429" s="2">
        <v>45630</v>
      </c>
      <c r="B429" t="s">
        <v>24</v>
      </c>
      <c r="C429" t="s">
        <v>39</v>
      </c>
      <c r="D429">
        <v>1500</v>
      </c>
      <c r="E429">
        <v>16</v>
      </c>
      <c r="F429">
        <v>14</v>
      </c>
      <c r="G429">
        <v>21000</v>
      </c>
      <c r="H429">
        <v>24000</v>
      </c>
      <c r="I429">
        <v>3000</v>
      </c>
      <c r="J429">
        <v>12</v>
      </c>
    </row>
    <row r="430" spans="1:10" x14ac:dyDescent="0.3">
      <c r="A430" s="2">
        <v>45631</v>
      </c>
      <c r="B430" t="s">
        <v>22</v>
      </c>
      <c r="C430" t="s">
        <v>33</v>
      </c>
      <c r="D430">
        <v>2500</v>
      </c>
      <c r="E430">
        <v>19</v>
      </c>
      <c r="F430">
        <v>8</v>
      </c>
      <c r="G430">
        <v>20000</v>
      </c>
      <c r="H430">
        <v>47500</v>
      </c>
      <c r="I430">
        <v>27500</v>
      </c>
      <c r="J430">
        <v>58</v>
      </c>
    </row>
    <row r="431" spans="1:10" x14ac:dyDescent="0.3">
      <c r="A431" s="2">
        <v>45631</v>
      </c>
      <c r="B431" t="s">
        <v>23</v>
      </c>
      <c r="C431" t="s">
        <v>26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">
      <c r="A432" s="2">
        <v>45631</v>
      </c>
      <c r="B432" t="s">
        <v>22</v>
      </c>
      <c r="C432" t="s">
        <v>33</v>
      </c>
      <c r="D432">
        <v>500</v>
      </c>
      <c r="E432">
        <v>11</v>
      </c>
      <c r="F432">
        <v>4</v>
      </c>
      <c r="G432">
        <v>2000</v>
      </c>
      <c r="H432">
        <v>5500</v>
      </c>
      <c r="I432">
        <v>3500</v>
      </c>
      <c r="J432">
        <v>64</v>
      </c>
    </row>
    <row r="433" spans="1:10" x14ac:dyDescent="0.3">
      <c r="A433" s="2">
        <v>45632</v>
      </c>
      <c r="B433" t="s">
        <v>22</v>
      </c>
      <c r="C433" t="s">
        <v>25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">
      <c r="A434" s="2">
        <v>45632</v>
      </c>
      <c r="B434" t="s">
        <v>22</v>
      </c>
      <c r="C434" t="s">
        <v>25</v>
      </c>
      <c r="D434">
        <v>1000</v>
      </c>
      <c r="E434">
        <v>18</v>
      </c>
      <c r="F434">
        <v>4</v>
      </c>
      <c r="G434">
        <v>4000</v>
      </c>
      <c r="H434">
        <v>18000</v>
      </c>
      <c r="I434">
        <v>14000</v>
      </c>
      <c r="J434">
        <v>78</v>
      </c>
    </row>
    <row r="435" spans="1:10" x14ac:dyDescent="0.3">
      <c r="A435" s="2">
        <v>45632</v>
      </c>
      <c r="B435" t="s">
        <v>23</v>
      </c>
      <c r="C435" t="s">
        <v>26</v>
      </c>
      <c r="D435">
        <v>1000</v>
      </c>
      <c r="E435">
        <v>6</v>
      </c>
      <c r="F435">
        <v>5</v>
      </c>
      <c r="G435">
        <v>5000</v>
      </c>
      <c r="H435">
        <v>6000</v>
      </c>
      <c r="I435">
        <v>1000</v>
      </c>
      <c r="J435">
        <v>17</v>
      </c>
    </row>
    <row r="436" spans="1:10" x14ac:dyDescent="0.3">
      <c r="A436" s="2">
        <v>45632</v>
      </c>
      <c r="B436" t="s">
        <v>23</v>
      </c>
      <c r="C436" t="s">
        <v>38</v>
      </c>
      <c r="D436">
        <v>2000</v>
      </c>
      <c r="E436">
        <v>11</v>
      </c>
      <c r="F436">
        <v>7</v>
      </c>
      <c r="G436">
        <v>14000</v>
      </c>
      <c r="H436">
        <v>22000</v>
      </c>
      <c r="I436">
        <v>8000</v>
      </c>
      <c r="J436">
        <v>36</v>
      </c>
    </row>
    <row r="437" spans="1:10" x14ac:dyDescent="0.3">
      <c r="A437" s="2">
        <v>45632</v>
      </c>
      <c r="B437" t="s">
        <v>24</v>
      </c>
      <c r="C437" t="s">
        <v>30</v>
      </c>
      <c r="D437">
        <v>500</v>
      </c>
      <c r="E437">
        <v>19</v>
      </c>
      <c r="F437">
        <v>9</v>
      </c>
      <c r="G437">
        <v>4500</v>
      </c>
      <c r="H437">
        <v>9500</v>
      </c>
      <c r="I437">
        <v>5000</v>
      </c>
      <c r="J437">
        <v>53</v>
      </c>
    </row>
    <row r="438" spans="1:10" x14ac:dyDescent="0.3">
      <c r="A438" s="2">
        <v>45632</v>
      </c>
      <c r="B438" t="s">
        <v>24</v>
      </c>
      <c r="C438" t="s">
        <v>32</v>
      </c>
      <c r="D438">
        <v>2500</v>
      </c>
      <c r="E438">
        <v>11</v>
      </c>
      <c r="F438">
        <v>10</v>
      </c>
      <c r="G438">
        <v>25000</v>
      </c>
      <c r="H438">
        <v>27500</v>
      </c>
      <c r="I438">
        <v>2500</v>
      </c>
      <c r="J438">
        <v>9</v>
      </c>
    </row>
    <row r="439" spans="1:10" x14ac:dyDescent="0.3">
      <c r="A439" s="2">
        <v>45632</v>
      </c>
      <c r="B439" t="s">
        <v>24</v>
      </c>
      <c r="C439" t="s">
        <v>36</v>
      </c>
      <c r="D439">
        <v>1000</v>
      </c>
      <c r="E439">
        <v>18</v>
      </c>
      <c r="F439">
        <v>17</v>
      </c>
      <c r="G439">
        <v>17000</v>
      </c>
      <c r="H439">
        <v>18000</v>
      </c>
      <c r="I439">
        <v>1000</v>
      </c>
      <c r="J439">
        <v>6</v>
      </c>
    </row>
    <row r="440" spans="1:10" x14ac:dyDescent="0.3">
      <c r="A440" s="2">
        <v>45632</v>
      </c>
      <c r="B440" t="s">
        <v>24</v>
      </c>
      <c r="C440" t="s">
        <v>32</v>
      </c>
      <c r="D440">
        <v>1500</v>
      </c>
      <c r="E440">
        <v>16</v>
      </c>
      <c r="F440">
        <v>3</v>
      </c>
      <c r="G440">
        <v>4500</v>
      </c>
      <c r="H440">
        <v>24000</v>
      </c>
      <c r="I440">
        <v>19500</v>
      </c>
      <c r="J440">
        <v>81</v>
      </c>
    </row>
    <row r="441" spans="1:10" x14ac:dyDescent="0.3">
      <c r="A441" s="2">
        <v>45633</v>
      </c>
      <c r="B441" t="s">
        <v>22</v>
      </c>
      <c r="C441" t="s">
        <v>34</v>
      </c>
      <c r="D441">
        <v>1500</v>
      </c>
      <c r="E441">
        <v>15</v>
      </c>
      <c r="F441">
        <v>3</v>
      </c>
      <c r="G441">
        <v>4500</v>
      </c>
      <c r="H441">
        <v>22500</v>
      </c>
      <c r="I441">
        <v>18000</v>
      </c>
      <c r="J441">
        <v>80</v>
      </c>
    </row>
    <row r="442" spans="1:10" x14ac:dyDescent="0.3">
      <c r="A442" s="2">
        <v>45633</v>
      </c>
      <c r="B442" t="s">
        <v>22</v>
      </c>
      <c r="C442" t="s">
        <v>34</v>
      </c>
      <c r="D442">
        <v>1000</v>
      </c>
      <c r="E442">
        <v>16</v>
      </c>
      <c r="F442">
        <v>13</v>
      </c>
      <c r="G442">
        <v>13000</v>
      </c>
      <c r="H442">
        <v>16000</v>
      </c>
      <c r="I442">
        <v>3000</v>
      </c>
      <c r="J442">
        <v>19</v>
      </c>
    </row>
    <row r="443" spans="1:10" x14ac:dyDescent="0.3">
      <c r="A443" s="2">
        <v>45633</v>
      </c>
      <c r="B443" t="s">
        <v>24</v>
      </c>
      <c r="C443" t="s">
        <v>36</v>
      </c>
      <c r="D443">
        <v>2500</v>
      </c>
      <c r="E443">
        <v>11</v>
      </c>
      <c r="F443">
        <v>6</v>
      </c>
      <c r="G443">
        <v>15000</v>
      </c>
      <c r="H443">
        <v>27500</v>
      </c>
      <c r="I443">
        <v>12500</v>
      </c>
      <c r="J443">
        <v>45</v>
      </c>
    </row>
    <row r="444" spans="1:10" x14ac:dyDescent="0.3">
      <c r="A444" s="2">
        <v>45633</v>
      </c>
      <c r="B444" t="s">
        <v>23</v>
      </c>
      <c r="C444" t="s">
        <v>38</v>
      </c>
      <c r="D444">
        <v>1000</v>
      </c>
      <c r="E444">
        <v>11</v>
      </c>
      <c r="F444">
        <v>6</v>
      </c>
      <c r="G444">
        <v>6000</v>
      </c>
      <c r="H444">
        <v>11000</v>
      </c>
      <c r="I444">
        <v>5000</v>
      </c>
      <c r="J444">
        <v>45</v>
      </c>
    </row>
    <row r="445" spans="1:10" x14ac:dyDescent="0.3">
      <c r="A445" s="2">
        <v>45633</v>
      </c>
      <c r="B445" t="s">
        <v>22</v>
      </c>
      <c r="C445" t="s">
        <v>28</v>
      </c>
      <c r="D445">
        <v>2000</v>
      </c>
      <c r="E445">
        <v>12</v>
      </c>
      <c r="F445">
        <v>7</v>
      </c>
      <c r="G445">
        <v>14000</v>
      </c>
      <c r="H445">
        <v>24000</v>
      </c>
      <c r="I445">
        <v>10000</v>
      </c>
      <c r="J445">
        <v>42</v>
      </c>
    </row>
    <row r="446" spans="1:10" x14ac:dyDescent="0.3">
      <c r="A446" s="2">
        <v>45633</v>
      </c>
      <c r="B446" t="s">
        <v>24</v>
      </c>
      <c r="C446" t="s">
        <v>32</v>
      </c>
      <c r="D446">
        <v>1500</v>
      </c>
      <c r="E446">
        <v>19</v>
      </c>
      <c r="F446">
        <v>10</v>
      </c>
      <c r="G446">
        <v>15000</v>
      </c>
      <c r="H446">
        <v>28500</v>
      </c>
      <c r="I446">
        <v>13500</v>
      </c>
      <c r="J446">
        <v>47</v>
      </c>
    </row>
    <row r="447" spans="1:10" x14ac:dyDescent="0.3">
      <c r="A447" s="2">
        <v>45633</v>
      </c>
      <c r="B447" t="s">
        <v>24</v>
      </c>
      <c r="C447" t="s">
        <v>36</v>
      </c>
      <c r="D447">
        <v>2500</v>
      </c>
      <c r="E447">
        <v>7</v>
      </c>
      <c r="F447">
        <v>6</v>
      </c>
      <c r="G447">
        <v>15000</v>
      </c>
      <c r="H447">
        <v>17500</v>
      </c>
      <c r="I447">
        <v>2500</v>
      </c>
      <c r="J447">
        <v>14</v>
      </c>
    </row>
    <row r="448" spans="1:10" x14ac:dyDescent="0.3">
      <c r="A448" s="2">
        <v>45633</v>
      </c>
      <c r="B448" t="s">
        <v>22</v>
      </c>
      <c r="C448" t="s">
        <v>33</v>
      </c>
      <c r="D448">
        <v>500</v>
      </c>
      <c r="E448">
        <v>6</v>
      </c>
      <c r="F448">
        <v>4</v>
      </c>
      <c r="G448">
        <v>2000</v>
      </c>
      <c r="H448">
        <v>3000</v>
      </c>
      <c r="I448">
        <v>1000</v>
      </c>
      <c r="J448">
        <v>33</v>
      </c>
    </row>
    <row r="449" spans="1:10" x14ac:dyDescent="0.3">
      <c r="A449" s="2">
        <v>45633</v>
      </c>
      <c r="B449" t="s">
        <v>24</v>
      </c>
      <c r="C449" t="s">
        <v>30</v>
      </c>
      <c r="D449">
        <v>2500</v>
      </c>
      <c r="E449">
        <v>12</v>
      </c>
      <c r="F449">
        <v>4</v>
      </c>
      <c r="G449">
        <v>10000</v>
      </c>
      <c r="H449">
        <v>30000</v>
      </c>
      <c r="I449">
        <v>20000</v>
      </c>
      <c r="J449">
        <v>67</v>
      </c>
    </row>
    <row r="450" spans="1:10" x14ac:dyDescent="0.3">
      <c r="A450" s="2">
        <v>45634</v>
      </c>
      <c r="B450" t="s">
        <v>24</v>
      </c>
      <c r="C450" t="s">
        <v>30</v>
      </c>
      <c r="D450">
        <v>2000</v>
      </c>
      <c r="E450">
        <v>16</v>
      </c>
      <c r="F450">
        <v>13</v>
      </c>
      <c r="G450">
        <v>26000</v>
      </c>
      <c r="H450">
        <v>32000</v>
      </c>
      <c r="I450">
        <v>6000</v>
      </c>
      <c r="J450">
        <v>19</v>
      </c>
    </row>
    <row r="451" spans="1:10" x14ac:dyDescent="0.3">
      <c r="A451" s="2">
        <v>45634</v>
      </c>
      <c r="B451" t="s">
        <v>24</v>
      </c>
      <c r="C451" t="s">
        <v>39</v>
      </c>
      <c r="D451">
        <v>2000</v>
      </c>
      <c r="E451">
        <v>5</v>
      </c>
      <c r="F451">
        <v>4</v>
      </c>
      <c r="G451">
        <v>8000</v>
      </c>
      <c r="H451">
        <v>10000</v>
      </c>
      <c r="I451">
        <v>2000</v>
      </c>
      <c r="J451">
        <v>20</v>
      </c>
    </row>
    <row r="452" spans="1:10" x14ac:dyDescent="0.3">
      <c r="A452" s="2">
        <v>45634</v>
      </c>
      <c r="B452" t="s">
        <v>23</v>
      </c>
      <c r="C452" t="s">
        <v>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A453" s="2">
        <v>45634</v>
      </c>
      <c r="B453" t="s">
        <v>23</v>
      </c>
      <c r="C453" t="s">
        <v>27</v>
      </c>
      <c r="D453">
        <v>500</v>
      </c>
      <c r="E453">
        <v>19</v>
      </c>
      <c r="F453">
        <v>9</v>
      </c>
      <c r="G453">
        <v>4500</v>
      </c>
      <c r="H453">
        <v>9500</v>
      </c>
      <c r="I453">
        <v>5000</v>
      </c>
      <c r="J453">
        <v>53</v>
      </c>
    </row>
    <row r="454" spans="1:10" x14ac:dyDescent="0.3">
      <c r="A454" s="2">
        <v>45634</v>
      </c>
      <c r="B454" t="s">
        <v>23</v>
      </c>
      <c r="C454" t="s">
        <v>29</v>
      </c>
      <c r="D454">
        <v>2000</v>
      </c>
      <c r="E454">
        <v>19</v>
      </c>
      <c r="F454">
        <v>6</v>
      </c>
      <c r="G454">
        <v>12000</v>
      </c>
      <c r="H454">
        <v>38000</v>
      </c>
      <c r="I454">
        <v>26000</v>
      </c>
      <c r="J454">
        <v>68</v>
      </c>
    </row>
    <row r="455" spans="1:10" x14ac:dyDescent="0.3">
      <c r="A455" s="2">
        <v>45635</v>
      </c>
      <c r="B455" t="s">
        <v>23</v>
      </c>
      <c r="C455" t="s">
        <v>26</v>
      </c>
      <c r="D455">
        <v>2000</v>
      </c>
      <c r="E455">
        <v>11</v>
      </c>
      <c r="F455">
        <v>8</v>
      </c>
      <c r="G455">
        <v>16000</v>
      </c>
      <c r="H455">
        <v>22000</v>
      </c>
      <c r="I455">
        <v>6000</v>
      </c>
      <c r="J455">
        <v>27</v>
      </c>
    </row>
    <row r="456" spans="1:10" x14ac:dyDescent="0.3">
      <c r="A456" s="2">
        <v>45635</v>
      </c>
      <c r="B456" t="s">
        <v>23</v>
      </c>
      <c r="C456" t="s">
        <v>38</v>
      </c>
      <c r="D456">
        <v>2500</v>
      </c>
      <c r="E456">
        <v>15</v>
      </c>
      <c r="F456">
        <v>14</v>
      </c>
      <c r="G456">
        <v>35000</v>
      </c>
      <c r="H456">
        <v>37500</v>
      </c>
      <c r="I456">
        <v>2500</v>
      </c>
      <c r="J456">
        <v>7</v>
      </c>
    </row>
    <row r="457" spans="1:10" x14ac:dyDescent="0.3">
      <c r="A457" s="2">
        <v>45635</v>
      </c>
      <c r="B457" t="s">
        <v>24</v>
      </c>
      <c r="C457" t="s">
        <v>39</v>
      </c>
      <c r="D457">
        <v>500</v>
      </c>
      <c r="E457">
        <v>14</v>
      </c>
      <c r="F457">
        <v>7</v>
      </c>
      <c r="G457">
        <v>3500</v>
      </c>
      <c r="H457">
        <v>7000</v>
      </c>
      <c r="I457">
        <v>3500</v>
      </c>
      <c r="J457">
        <v>50</v>
      </c>
    </row>
    <row r="458" spans="1:10" x14ac:dyDescent="0.3">
      <c r="A458" s="2">
        <v>45635</v>
      </c>
      <c r="B458" t="s">
        <v>22</v>
      </c>
      <c r="C458" t="s">
        <v>37</v>
      </c>
      <c r="D458">
        <v>500</v>
      </c>
      <c r="E458">
        <v>14</v>
      </c>
      <c r="F458">
        <v>12</v>
      </c>
      <c r="G458">
        <v>6000</v>
      </c>
      <c r="H458">
        <v>7000</v>
      </c>
      <c r="I458">
        <v>1000</v>
      </c>
      <c r="J458">
        <v>14</v>
      </c>
    </row>
    <row r="459" spans="1:10" x14ac:dyDescent="0.3">
      <c r="A459" s="2">
        <v>45635</v>
      </c>
      <c r="B459" t="s">
        <v>22</v>
      </c>
      <c r="C459" t="s">
        <v>25</v>
      </c>
      <c r="D459">
        <v>2000</v>
      </c>
      <c r="E459">
        <v>7</v>
      </c>
      <c r="F459">
        <v>3</v>
      </c>
      <c r="G459">
        <v>6000</v>
      </c>
      <c r="H459">
        <v>14000</v>
      </c>
      <c r="I459">
        <v>8000</v>
      </c>
      <c r="J459">
        <v>57</v>
      </c>
    </row>
    <row r="460" spans="1:10" x14ac:dyDescent="0.3">
      <c r="A460" s="2">
        <v>45635</v>
      </c>
      <c r="B460" t="s">
        <v>22</v>
      </c>
      <c r="C460" t="s">
        <v>34</v>
      </c>
      <c r="D460">
        <v>500</v>
      </c>
      <c r="E460">
        <v>11</v>
      </c>
      <c r="F460">
        <v>5</v>
      </c>
      <c r="G460">
        <v>2500</v>
      </c>
      <c r="H460">
        <v>5500</v>
      </c>
      <c r="I460">
        <v>3000</v>
      </c>
      <c r="J460">
        <v>55</v>
      </c>
    </row>
    <row r="461" spans="1:10" x14ac:dyDescent="0.3">
      <c r="A461" s="2">
        <v>45636</v>
      </c>
      <c r="B461" t="s">
        <v>23</v>
      </c>
      <c r="C461" t="s">
        <v>29</v>
      </c>
      <c r="D461">
        <v>2500</v>
      </c>
      <c r="E461">
        <v>17</v>
      </c>
      <c r="F461">
        <v>4</v>
      </c>
      <c r="G461">
        <v>10000</v>
      </c>
      <c r="H461">
        <v>42500</v>
      </c>
      <c r="I461">
        <v>32500</v>
      </c>
      <c r="J461">
        <v>76</v>
      </c>
    </row>
    <row r="462" spans="1:10" x14ac:dyDescent="0.3">
      <c r="A462" s="2">
        <v>45636</v>
      </c>
      <c r="B462" t="s">
        <v>22</v>
      </c>
      <c r="C462" t="s">
        <v>33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s="2">
        <v>45636</v>
      </c>
      <c r="B463" t="s">
        <v>24</v>
      </c>
      <c r="C463" t="s">
        <v>32</v>
      </c>
      <c r="D463">
        <v>2000</v>
      </c>
      <c r="E463">
        <v>16</v>
      </c>
      <c r="F463">
        <v>10</v>
      </c>
      <c r="G463">
        <v>20000</v>
      </c>
      <c r="H463">
        <v>32000</v>
      </c>
      <c r="I463">
        <v>12000</v>
      </c>
      <c r="J463">
        <v>38</v>
      </c>
    </row>
    <row r="464" spans="1:10" x14ac:dyDescent="0.3">
      <c r="A464" s="2">
        <v>45636</v>
      </c>
      <c r="B464" t="s">
        <v>22</v>
      </c>
      <c r="C464" t="s">
        <v>25</v>
      </c>
      <c r="D464">
        <v>2000</v>
      </c>
      <c r="E464">
        <v>5</v>
      </c>
      <c r="F464">
        <v>4</v>
      </c>
      <c r="G464">
        <v>8000</v>
      </c>
      <c r="H464">
        <v>10000</v>
      </c>
      <c r="I464">
        <v>2000</v>
      </c>
      <c r="J464">
        <v>20</v>
      </c>
    </row>
    <row r="465" spans="1:10" x14ac:dyDescent="0.3">
      <c r="A465" s="2">
        <v>45636</v>
      </c>
      <c r="B465" t="s">
        <v>22</v>
      </c>
      <c r="C465" t="s">
        <v>28</v>
      </c>
      <c r="D465">
        <v>500</v>
      </c>
      <c r="E465">
        <v>18</v>
      </c>
      <c r="F465">
        <v>4</v>
      </c>
      <c r="G465">
        <v>2000</v>
      </c>
      <c r="H465">
        <v>9000</v>
      </c>
      <c r="I465">
        <v>7000</v>
      </c>
      <c r="J465">
        <v>78</v>
      </c>
    </row>
    <row r="466" spans="1:10" x14ac:dyDescent="0.3">
      <c r="A466" s="2">
        <v>45636</v>
      </c>
      <c r="B466" t="s">
        <v>23</v>
      </c>
      <c r="C466" t="s">
        <v>29</v>
      </c>
      <c r="D466">
        <v>1000</v>
      </c>
      <c r="E466">
        <v>17</v>
      </c>
      <c r="F466">
        <v>13</v>
      </c>
      <c r="G466">
        <v>13000</v>
      </c>
      <c r="H466">
        <v>17000</v>
      </c>
      <c r="I466">
        <v>4000</v>
      </c>
      <c r="J466">
        <v>24</v>
      </c>
    </row>
    <row r="467" spans="1:10" x14ac:dyDescent="0.3">
      <c r="A467" s="2">
        <v>45636</v>
      </c>
      <c r="B467" t="s">
        <v>22</v>
      </c>
      <c r="C467" t="s">
        <v>37</v>
      </c>
      <c r="D467">
        <v>1000</v>
      </c>
      <c r="E467">
        <v>9</v>
      </c>
      <c r="F467">
        <v>6</v>
      </c>
      <c r="G467">
        <v>6000</v>
      </c>
      <c r="H467">
        <v>9000</v>
      </c>
      <c r="I467">
        <v>3000</v>
      </c>
      <c r="J467">
        <v>33</v>
      </c>
    </row>
    <row r="468" spans="1:10" x14ac:dyDescent="0.3">
      <c r="A468" s="2">
        <v>45637</v>
      </c>
      <c r="B468" t="s">
        <v>24</v>
      </c>
      <c r="C468" t="s">
        <v>36</v>
      </c>
      <c r="D468">
        <v>2000</v>
      </c>
      <c r="E468">
        <v>13</v>
      </c>
      <c r="F468">
        <v>4</v>
      </c>
      <c r="G468">
        <v>8000</v>
      </c>
      <c r="H468">
        <v>26000</v>
      </c>
      <c r="I468">
        <v>18000</v>
      </c>
      <c r="J468">
        <v>69</v>
      </c>
    </row>
    <row r="469" spans="1:10" x14ac:dyDescent="0.3">
      <c r="A469" s="2">
        <v>45637</v>
      </c>
      <c r="B469" t="s">
        <v>22</v>
      </c>
      <c r="C469" t="s">
        <v>37</v>
      </c>
      <c r="D469">
        <v>2500</v>
      </c>
      <c r="E469">
        <v>20</v>
      </c>
      <c r="F469">
        <v>19</v>
      </c>
      <c r="G469">
        <v>47500</v>
      </c>
      <c r="H469">
        <v>50000</v>
      </c>
      <c r="I469">
        <v>2500</v>
      </c>
      <c r="J469">
        <v>5</v>
      </c>
    </row>
    <row r="470" spans="1:10" x14ac:dyDescent="0.3">
      <c r="A470" s="2">
        <v>45637</v>
      </c>
      <c r="B470" t="s">
        <v>22</v>
      </c>
      <c r="C470" t="s">
        <v>28</v>
      </c>
      <c r="D470">
        <v>2500</v>
      </c>
      <c r="E470">
        <v>6</v>
      </c>
      <c r="F470">
        <v>5</v>
      </c>
      <c r="G470">
        <v>12500</v>
      </c>
      <c r="H470">
        <v>15000</v>
      </c>
      <c r="I470">
        <v>2500</v>
      </c>
      <c r="J470">
        <v>17</v>
      </c>
    </row>
    <row r="471" spans="1:10" x14ac:dyDescent="0.3">
      <c r="A471" s="2">
        <v>45637</v>
      </c>
      <c r="B471" t="s">
        <v>23</v>
      </c>
      <c r="C471" t="s">
        <v>27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">
      <c r="A472" s="2">
        <v>45637</v>
      </c>
      <c r="B472" t="s">
        <v>22</v>
      </c>
      <c r="C472" t="s">
        <v>34</v>
      </c>
      <c r="D472">
        <v>2000</v>
      </c>
      <c r="E472">
        <v>9</v>
      </c>
      <c r="F472">
        <v>8</v>
      </c>
      <c r="G472">
        <v>16000</v>
      </c>
      <c r="H472">
        <v>18000</v>
      </c>
      <c r="I472">
        <v>2000</v>
      </c>
      <c r="J472">
        <v>11</v>
      </c>
    </row>
    <row r="473" spans="1:10" x14ac:dyDescent="0.3">
      <c r="A473" s="2">
        <v>45637</v>
      </c>
      <c r="B473" t="s">
        <v>23</v>
      </c>
      <c r="C473" t="s">
        <v>27</v>
      </c>
      <c r="D473">
        <v>1500</v>
      </c>
      <c r="E473">
        <v>5</v>
      </c>
      <c r="F473">
        <v>3</v>
      </c>
      <c r="G473">
        <v>4500</v>
      </c>
      <c r="H473">
        <v>7500</v>
      </c>
      <c r="I473">
        <v>3000</v>
      </c>
      <c r="J473">
        <v>40</v>
      </c>
    </row>
    <row r="474" spans="1:10" x14ac:dyDescent="0.3">
      <c r="A474" s="2">
        <v>45638</v>
      </c>
      <c r="B474" t="s">
        <v>24</v>
      </c>
      <c r="C474" t="s">
        <v>32</v>
      </c>
      <c r="D474">
        <v>1000</v>
      </c>
      <c r="E474">
        <v>20</v>
      </c>
      <c r="F474">
        <v>14</v>
      </c>
      <c r="G474">
        <v>14000</v>
      </c>
      <c r="H474">
        <v>20000</v>
      </c>
      <c r="I474">
        <v>6000</v>
      </c>
      <c r="J474">
        <v>30</v>
      </c>
    </row>
    <row r="475" spans="1:10" x14ac:dyDescent="0.3">
      <c r="A475" s="2">
        <v>45638</v>
      </c>
      <c r="B475" t="s">
        <v>22</v>
      </c>
      <c r="C475" t="s">
        <v>37</v>
      </c>
      <c r="D475">
        <v>500</v>
      </c>
      <c r="E475">
        <v>8</v>
      </c>
      <c r="F475">
        <v>5</v>
      </c>
      <c r="G475">
        <v>2500</v>
      </c>
      <c r="H475">
        <v>4000</v>
      </c>
      <c r="I475">
        <v>1500</v>
      </c>
      <c r="J475">
        <v>38</v>
      </c>
    </row>
    <row r="476" spans="1:10" x14ac:dyDescent="0.3">
      <c r="A476" s="2">
        <v>45638</v>
      </c>
      <c r="B476" t="s">
        <v>24</v>
      </c>
      <c r="C476" t="s">
        <v>35</v>
      </c>
      <c r="D476">
        <v>2500</v>
      </c>
      <c r="E476">
        <v>15</v>
      </c>
      <c r="F476">
        <v>11</v>
      </c>
      <c r="G476">
        <v>27500</v>
      </c>
      <c r="H476">
        <v>37500</v>
      </c>
      <c r="I476">
        <v>10000</v>
      </c>
      <c r="J476">
        <v>27</v>
      </c>
    </row>
    <row r="477" spans="1:10" x14ac:dyDescent="0.3">
      <c r="A477" s="2">
        <v>45638</v>
      </c>
      <c r="B477" t="s">
        <v>23</v>
      </c>
      <c r="C477" t="s">
        <v>31</v>
      </c>
      <c r="D477">
        <v>2000</v>
      </c>
      <c r="E477">
        <v>15</v>
      </c>
      <c r="F477">
        <v>11</v>
      </c>
      <c r="G477">
        <v>22000</v>
      </c>
      <c r="H477">
        <v>30000</v>
      </c>
      <c r="I477">
        <v>8000</v>
      </c>
      <c r="J477">
        <v>27</v>
      </c>
    </row>
    <row r="478" spans="1:10" x14ac:dyDescent="0.3">
      <c r="A478" s="2">
        <v>45638</v>
      </c>
      <c r="B478" t="s">
        <v>23</v>
      </c>
      <c r="C478" t="s">
        <v>26</v>
      </c>
      <c r="D478">
        <v>2500</v>
      </c>
      <c r="E478">
        <v>6</v>
      </c>
      <c r="F478">
        <v>4</v>
      </c>
      <c r="G478">
        <v>10000</v>
      </c>
      <c r="H478">
        <v>15000</v>
      </c>
      <c r="I478">
        <v>5000</v>
      </c>
      <c r="J478">
        <v>33</v>
      </c>
    </row>
    <row r="479" spans="1:10" x14ac:dyDescent="0.3">
      <c r="A479" s="2">
        <v>45638</v>
      </c>
      <c r="B479" t="s">
        <v>24</v>
      </c>
      <c r="C479" t="s">
        <v>35</v>
      </c>
      <c r="D479">
        <v>2500</v>
      </c>
      <c r="E479">
        <v>14</v>
      </c>
      <c r="F479">
        <v>9</v>
      </c>
      <c r="G479">
        <v>22500</v>
      </c>
      <c r="H479">
        <v>35000</v>
      </c>
      <c r="I479">
        <v>12500</v>
      </c>
      <c r="J479">
        <v>36</v>
      </c>
    </row>
    <row r="480" spans="1:10" x14ac:dyDescent="0.3">
      <c r="A480" s="2">
        <v>45638</v>
      </c>
      <c r="B480" t="s">
        <v>23</v>
      </c>
      <c r="C480" t="s">
        <v>29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">
      <c r="A481" s="2">
        <v>45638</v>
      </c>
      <c r="B481" t="s">
        <v>24</v>
      </c>
      <c r="C481" t="s">
        <v>30</v>
      </c>
      <c r="D481">
        <v>1500</v>
      </c>
      <c r="E481">
        <v>19</v>
      </c>
      <c r="F481">
        <v>15</v>
      </c>
      <c r="G481">
        <v>22500</v>
      </c>
      <c r="H481">
        <v>28500</v>
      </c>
      <c r="I481">
        <v>6000</v>
      </c>
      <c r="J481">
        <v>21</v>
      </c>
    </row>
    <row r="482" spans="1:10" x14ac:dyDescent="0.3">
      <c r="A482" s="2">
        <v>45639</v>
      </c>
      <c r="B482" t="s">
        <v>22</v>
      </c>
      <c r="C482" t="s">
        <v>33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s="2">
        <v>45639</v>
      </c>
      <c r="B483" t="s">
        <v>24</v>
      </c>
      <c r="C483" t="s">
        <v>36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">
      <c r="A484" s="2">
        <v>45640</v>
      </c>
      <c r="B484" t="s">
        <v>23</v>
      </c>
      <c r="C484" t="s">
        <v>29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">
      <c r="A485" s="2">
        <v>45640</v>
      </c>
      <c r="B485" t="s">
        <v>24</v>
      </c>
      <c r="C485" t="s">
        <v>35</v>
      </c>
      <c r="D485">
        <v>2500</v>
      </c>
      <c r="E485">
        <v>20</v>
      </c>
      <c r="F485">
        <v>14</v>
      </c>
      <c r="G485">
        <v>35000</v>
      </c>
      <c r="H485">
        <v>50000</v>
      </c>
      <c r="I485">
        <v>15000</v>
      </c>
      <c r="J485">
        <v>30</v>
      </c>
    </row>
    <row r="486" spans="1:10" x14ac:dyDescent="0.3">
      <c r="A486" s="2">
        <v>45640</v>
      </c>
      <c r="B486" t="s">
        <v>24</v>
      </c>
      <c r="C486" t="s">
        <v>32</v>
      </c>
      <c r="D486">
        <v>500</v>
      </c>
      <c r="E486">
        <v>8</v>
      </c>
      <c r="F486">
        <v>3</v>
      </c>
      <c r="G486">
        <v>1500</v>
      </c>
      <c r="H486">
        <v>4000</v>
      </c>
      <c r="I486">
        <v>2500</v>
      </c>
      <c r="J486">
        <v>62</v>
      </c>
    </row>
    <row r="487" spans="1:10" x14ac:dyDescent="0.3">
      <c r="A487" s="2">
        <v>45641</v>
      </c>
      <c r="B487" t="s">
        <v>22</v>
      </c>
      <c r="C487" t="s">
        <v>33</v>
      </c>
      <c r="D487">
        <v>500</v>
      </c>
      <c r="E487">
        <v>19</v>
      </c>
      <c r="F487">
        <v>18</v>
      </c>
      <c r="G487">
        <v>9000</v>
      </c>
      <c r="H487">
        <v>9500</v>
      </c>
      <c r="I487">
        <v>500</v>
      </c>
      <c r="J487">
        <v>5</v>
      </c>
    </row>
    <row r="488" spans="1:10" x14ac:dyDescent="0.3">
      <c r="A488" s="2">
        <v>45641</v>
      </c>
      <c r="B488" t="s">
        <v>23</v>
      </c>
      <c r="C488" t="s">
        <v>29</v>
      </c>
      <c r="D488">
        <v>500</v>
      </c>
      <c r="E488">
        <v>10</v>
      </c>
      <c r="F488">
        <v>4</v>
      </c>
      <c r="G488">
        <v>2000</v>
      </c>
      <c r="H488">
        <v>5000</v>
      </c>
      <c r="I488">
        <v>3000</v>
      </c>
      <c r="J488">
        <v>60</v>
      </c>
    </row>
    <row r="489" spans="1:10" x14ac:dyDescent="0.3">
      <c r="A489" s="2">
        <v>45641</v>
      </c>
      <c r="B489" t="s">
        <v>23</v>
      </c>
      <c r="C489" t="s">
        <v>31</v>
      </c>
      <c r="D489">
        <v>2500</v>
      </c>
      <c r="E489">
        <v>10</v>
      </c>
      <c r="F489">
        <v>6</v>
      </c>
      <c r="G489">
        <v>15000</v>
      </c>
      <c r="H489">
        <v>25000</v>
      </c>
      <c r="I489">
        <v>10000</v>
      </c>
      <c r="J489">
        <v>40</v>
      </c>
    </row>
    <row r="490" spans="1:10" x14ac:dyDescent="0.3">
      <c r="A490" s="2">
        <v>45642</v>
      </c>
      <c r="B490" t="s">
        <v>22</v>
      </c>
      <c r="C490" t="s">
        <v>34</v>
      </c>
      <c r="D490">
        <v>500</v>
      </c>
      <c r="E490">
        <v>14</v>
      </c>
      <c r="F490">
        <v>9</v>
      </c>
      <c r="G490">
        <v>4500</v>
      </c>
      <c r="H490">
        <v>7000</v>
      </c>
      <c r="I490">
        <v>2500</v>
      </c>
      <c r="J490">
        <v>36</v>
      </c>
    </row>
    <row r="491" spans="1:10" x14ac:dyDescent="0.3">
      <c r="A491" s="2">
        <v>45642</v>
      </c>
      <c r="B491" t="s">
        <v>24</v>
      </c>
      <c r="C491" t="s">
        <v>35</v>
      </c>
      <c r="D491">
        <v>500</v>
      </c>
      <c r="E491">
        <v>15</v>
      </c>
      <c r="F491">
        <v>14</v>
      </c>
      <c r="G491">
        <v>7000</v>
      </c>
      <c r="H491">
        <v>7500</v>
      </c>
      <c r="I491">
        <v>500</v>
      </c>
      <c r="J491">
        <v>7</v>
      </c>
    </row>
    <row r="492" spans="1:10" x14ac:dyDescent="0.3">
      <c r="A492" s="2">
        <v>45642</v>
      </c>
      <c r="B492" t="s">
        <v>22</v>
      </c>
      <c r="C492" t="s">
        <v>37</v>
      </c>
      <c r="D492">
        <v>500</v>
      </c>
      <c r="E492">
        <v>14</v>
      </c>
      <c r="F492">
        <v>9</v>
      </c>
      <c r="G492">
        <v>4500</v>
      </c>
      <c r="H492">
        <v>7000</v>
      </c>
      <c r="I492">
        <v>2500</v>
      </c>
      <c r="J492">
        <v>36</v>
      </c>
    </row>
    <row r="493" spans="1:10" x14ac:dyDescent="0.3">
      <c r="A493" s="2">
        <v>45642</v>
      </c>
      <c r="B493" t="s">
        <v>24</v>
      </c>
      <c r="C493" t="s">
        <v>30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">
      <c r="A494" s="2">
        <v>45642</v>
      </c>
      <c r="B494" t="s">
        <v>22</v>
      </c>
      <c r="C494" t="s">
        <v>25</v>
      </c>
      <c r="D494">
        <v>500</v>
      </c>
      <c r="E494">
        <v>12</v>
      </c>
      <c r="F494">
        <v>9</v>
      </c>
      <c r="G494">
        <v>4500</v>
      </c>
      <c r="H494">
        <v>6000</v>
      </c>
      <c r="I494">
        <v>1500</v>
      </c>
      <c r="J494">
        <v>25</v>
      </c>
    </row>
    <row r="495" spans="1:10" x14ac:dyDescent="0.3">
      <c r="A495" s="2">
        <v>45642</v>
      </c>
      <c r="B495" t="s">
        <v>23</v>
      </c>
      <c r="C495" t="s">
        <v>29</v>
      </c>
      <c r="D495">
        <v>500</v>
      </c>
      <c r="E495">
        <v>5</v>
      </c>
      <c r="F495">
        <v>4</v>
      </c>
      <c r="G495">
        <v>2000</v>
      </c>
      <c r="H495">
        <v>2500</v>
      </c>
      <c r="I495">
        <v>500</v>
      </c>
      <c r="J495">
        <v>20</v>
      </c>
    </row>
    <row r="496" spans="1:10" x14ac:dyDescent="0.3">
      <c r="A496" s="2">
        <v>45642</v>
      </c>
      <c r="B496" t="s">
        <v>24</v>
      </c>
      <c r="C496" t="s">
        <v>39</v>
      </c>
      <c r="D496">
        <v>2500</v>
      </c>
      <c r="E496">
        <v>15</v>
      </c>
      <c r="F496">
        <v>3</v>
      </c>
      <c r="G496">
        <v>7500</v>
      </c>
      <c r="H496">
        <v>37500</v>
      </c>
      <c r="I496">
        <v>30000</v>
      </c>
      <c r="J496">
        <v>80</v>
      </c>
    </row>
    <row r="497" spans="1:10" x14ac:dyDescent="0.3">
      <c r="A497" s="2">
        <v>45642</v>
      </c>
      <c r="B497" t="s">
        <v>24</v>
      </c>
      <c r="C497" t="s">
        <v>32</v>
      </c>
      <c r="D497">
        <v>500</v>
      </c>
      <c r="E497">
        <v>15</v>
      </c>
      <c r="F497">
        <v>8</v>
      </c>
      <c r="G497">
        <v>4000</v>
      </c>
      <c r="H497">
        <v>7500</v>
      </c>
      <c r="I497">
        <v>3500</v>
      </c>
      <c r="J497">
        <v>47</v>
      </c>
    </row>
    <row r="498" spans="1:10" x14ac:dyDescent="0.3">
      <c r="A498" s="2">
        <v>45643</v>
      </c>
      <c r="B498" t="s">
        <v>24</v>
      </c>
      <c r="C498" t="s">
        <v>36</v>
      </c>
      <c r="D498">
        <v>1000</v>
      </c>
      <c r="E498">
        <v>19</v>
      </c>
      <c r="F498">
        <v>18</v>
      </c>
      <c r="G498">
        <v>18000</v>
      </c>
      <c r="H498">
        <v>19000</v>
      </c>
      <c r="I498">
        <v>1000</v>
      </c>
      <c r="J498">
        <v>5</v>
      </c>
    </row>
    <row r="499" spans="1:10" x14ac:dyDescent="0.3">
      <c r="A499" s="2">
        <v>45643</v>
      </c>
      <c r="B499" t="s">
        <v>22</v>
      </c>
      <c r="C499" t="s">
        <v>34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s="2">
        <v>45643</v>
      </c>
      <c r="B500" t="s">
        <v>23</v>
      </c>
      <c r="C500" t="s">
        <v>26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s="2">
        <v>45643</v>
      </c>
      <c r="B501" t="s">
        <v>22</v>
      </c>
      <c r="C501" t="s">
        <v>25</v>
      </c>
      <c r="D501">
        <v>1500</v>
      </c>
      <c r="E501">
        <v>9</v>
      </c>
      <c r="F501">
        <v>4</v>
      </c>
      <c r="G501">
        <v>6000</v>
      </c>
      <c r="H501">
        <v>13500</v>
      </c>
      <c r="I501">
        <v>7500</v>
      </c>
      <c r="J501">
        <v>56</v>
      </c>
    </row>
    <row r="502" spans="1:10" x14ac:dyDescent="0.3">
      <c r="A502" s="2">
        <v>45643</v>
      </c>
      <c r="B502" t="s">
        <v>23</v>
      </c>
      <c r="C502" t="s">
        <v>31</v>
      </c>
      <c r="D502">
        <v>1000</v>
      </c>
      <c r="E502">
        <v>17</v>
      </c>
      <c r="F502">
        <v>6</v>
      </c>
      <c r="G502">
        <v>6000</v>
      </c>
      <c r="H502">
        <v>17000</v>
      </c>
      <c r="I502">
        <v>11000</v>
      </c>
      <c r="J502">
        <v>65</v>
      </c>
    </row>
    <row r="503" spans="1:10" x14ac:dyDescent="0.3">
      <c r="A503" s="2">
        <v>45643</v>
      </c>
      <c r="B503" t="s">
        <v>23</v>
      </c>
      <c r="C503" t="s">
        <v>26</v>
      </c>
      <c r="D503">
        <v>2000</v>
      </c>
      <c r="E503">
        <v>6</v>
      </c>
      <c r="F503">
        <v>3</v>
      </c>
      <c r="G503">
        <v>6000</v>
      </c>
      <c r="H503">
        <v>12000</v>
      </c>
      <c r="I503">
        <v>6000</v>
      </c>
      <c r="J503">
        <v>50</v>
      </c>
    </row>
    <row r="504" spans="1:10" x14ac:dyDescent="0.3">
      <c r="A504" s="2">
        <v>45643</v>
      </c>
      <c r="B504" t="s">
        <v>23</v>
      </c>
      <c r="C504" t="s">
        <v>29</v>
      </c>
      <c r="D504">
        <v>500</v>
      </c>
      <c r="E504">
        <v>17</v>
      </c>
      <c r="F504">
        <v>12</v>
      </c>
      <c r="G504">
        <v>6000</v>
      </c>
      <c r="H504">
        <v>8500</v>
      </c>
      <c r="I504">
        <v>2500</v>
      </c>
      <c r="J504">
        <v>29</v>
      </c>
    </row>
    <row r="505" spans="1:10" x14ac:dyDescent="0.3">
      <c r="A505" s="2">
        <v>45643</v>
      </c>
      <c r="B505" t="s">
        <v>22</v>
      </c>
      <c r="C505" t="s">
        <v>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">
      <c r="A506" s="2">
        <v>45643</v>
      </c>
      <c r="B506" t="s">
        <v>24</v>
      </c>
      <c r="C506" t="s">
        <v>30</v>
      </c>
      <c r="D506">
        <v>2500</v>
      </c>
      <c r="E506">
        <v>11</v>
      </c>
      <c r="F506">
        <v>7</v>
      </c>
      <c r="G506">
        <v>17500</v>
      </c>
      <c r="H506">
        <v>27500</v>
      </c>
      <c r="I506">
        <v>10000</v>
      </c>
      <c r="J506">
        <v>36</v>
      </c>
    </row>
    <row r="507" spans="1:10" x14ac:dyDescent="0.3">
      <c r="A507" s="2">
        <v>45643</v>
      </c>
      <c r="B507" t="s">
        <v>23</v>
      </c>
      <c r="C507" t="s">
        <v>31</v>
      </c>
      <c r="D507">
        <v>1500</v>
      </c>
      <c r="E507">
        <v>12</v>
      </c>
      <c r="F507">
        <v>9</v>
      </c>
      <c r="G507">
        <v>13500</v>
      </c>
      <c r="H507">
        <v>18000</v>
      </c>
      <c r="I507">
        <v>4500</v>
      </c>
      <c r="J507">
        <v>25</v>
      </c>
    </row>
    <row r="508" spans="1:10" x14ac:dyDescent="0.3">
      <c r="A508" s="2">
        <v>45644</v>
      </c>
      <c r="B508" t="s">
        <v>22</v>
      </c>
      <c r="C508" t="s">
        <v>33</v>
      </c>
      <c r="D508">
        <v>1000</v>
      </c>
      <c r="E508">
        <v>9</v>
      </c>
      <c r="F508">
        <v>7</v>
      </c>
      <c r="G508">
        <v>7000</v>
      </c>
      <c r="H508">
        <v>9000</v>
      </c>
      <c r="I508">
        <v>2000</v>
      </c>
      <c r="J508">
        <v>22</v>
      </c>
    </row>
    <row r="509" spans="1:10" x14ac:dyDescent="0.3">
      <c r="A509" s="2">
        <v>45644</v>
      </c>
      <c r="B509" t="s">
        <v>24</v>
      </c>
      <c r="C509" t="s">
        <v>39</v>
      </c>
      <c r="D509">
        <v>500</v>
      </c>
      <c r="E509">
        <v>15</v>
      </c>
      <c r="F509">
        <v>9</v>
      </c>
      <c r="G509">
        <v>4500</v>
      </c>
      <c r="H509">
        <v>7500</v>
      </c>
      <c r="I509">
        <v>3000</v>
      </c>
      <c r="J509">
        <v>40</v>
      </c>
    </row>
    <row r="510" spans="1:10" x14ac:dyDescent="0.3">
      <c r="A510" s="2">
        <v>45644</v>
      </c>
      <c r="B510" t="s">
        <v>23</v>
      </c>
      <c r="C510" t="s">
        <v>38</v>
      </c>
      <c r="D510">
        <v>500</v>
      </c>
      <c r="E510">
        <v>18</v>
      </c>
      <c r="F510">
        <v>12</v>
      </c>
      <c r="G510">
        <v>6000</v>
      </c>
      <c r="H510">
        <v>9000</v>
      </c>
      <c r="I510">
        <v>3000</v>
      </c>
      <c r="J510">
        <v>33</v>
      </c>
    </row>
    <row r="511" spans="1:10" x14ac:dyDescent="0.3">
      <c r="A511" s="2">
        <v>45644</v>
      </c>
      <c r="B511" t="s">
        <v>22</v>
      </c>
      <c r="C511" t="s">
        <v>33</v>
      </c>
      <c r="D511">
        <v>500</v>
      </c>
      <c r="E511">
        <v>5</v>
      </c>
      <c r="F511">
        <v>4</v>
      </c>
      <c r="G511">
        <v>2000</v>
      </c>
      <c r="H511">
        <v>2500</v>
      </c>
      <c r="I511">
        <v>500</v>
      </c>
      <c r="J511">
        <v>20</v>
      </c>
    </row>
    <row r="512" spans="1:10" x14ac:dyDescent="0.3">
      <c r="A512" s="2">
        <v>45644</v>
      </c>
      <c r="B512" t="s">
        <v>22</v>
      </c>
      <c r="C512" t="s">
        <v>28</v>
      </c>
      <c r="D512">
        <v>2500</v>
      </c>
      <c r="E512">
        <v>17</v>
      </c>
      <c r="F512">
        <v>8</v>
      </c>
      <c r="G512">
        <v>20000</v>
      </c>
      <c r="H512">
        <v>42500</v>
      </c>
      <c r="I512">
        <v>22500</v>
      </c>
      <c r="J512">
        <v>53</v>
      </c>
    </row>
    <row r="513" spans="1:10" x14ac:dyDescent="0.3">
      <c r="A513" s="2">
        <v>45645</v>
      </c>
      <c r="B513" t="s">
        <v>22</v>
      </c>
      <c r="C513" t="s">
        <v>37</v>
      </c>
      <c r="D513">
        <v>1000</v>
      </c>
      <c r="E513">
        <v>16</v>
      </c>
      <c r="F513">
        <v>8</v>
      </c>
      <c r="G513">
        <v>8000</v>
      </c>
      <c r="H513">
        <v>16000</v>
      </c>
      <c r="I513">
        <v>8000</v>
      </c>
      <c r="J513">
        <v>50</v>
      </c>
    </row>
    <row r="514" spans="1:10" x14ac:dyDescent="0.3">
      <c r="A514" s="2">
        <v>45645</v>
      </c>
      <c r="B514" t="s">
        <v>23</v>
      </c>
      <c r="C514" t="s">
        <v>29</v>
      </c>
      <c r="D514">
        <v>500</v>
      </c>
      <c r="E514">
        <v>16</v>
      </c>
      <c r="F514">
        <v>15</v>
      </c>
      <c r="G514">
        <v>7500</v>
      </c>
      <c r="H514">
        <v>8000</v>
      </c>
      <c r="I514">
        <v>500</v>
      </c>
      <c r="J514">
        <v>6</v>
      </c>
    </row>
    <row r="515" spans="1:10" x14ac:dyDescent="0.3">
      <c r="A515" s="2">
        <v>45645</v>
      </c>
      <c r="B515" t="s">
        <v>24</v>
      </c>
      <c r="C515" t="s">
        <v>35</v>
      </c>
      <c r="D515">
        <v>1000</v>
      </c>
      <c r="E515">
        <v>18</v>
      </c>
      <c r="F515">
        <v>13</v>
      </c>
      <c r="G515">
        <v>13000</v>
      </c>
      <c r="H515">
        <v>18000</v>
      </c>
      <c r="I515">
        <v>5000</v>
      </c>
      <c r="J515">
        <v>28</v>
      </c>
    </row>
    <row r="516" spans="1:10" x14ac:dyDescent="0.3">
      <c r="A516" s="2">
        <v>45645</v>
      </c>
      <c r="B516" t="s">
        <v>23</v>
      </c>
      <c r="C516" t="s">
        <v>29</v>
      </c>
      <c r="D516">
        <v>2500</v>
      </c>
      <c r="E516">
        <v>16</v>
      </c>
      <c r="F516">
        <v>7</v>
      </c>
      <c r="G516">
        <v>17500</v>
      </c>
      <c r="H516">
        <v>40000</v>
      </c>
      <c r="I516">
        <v>22500</v>
      </c>
      <c r="J516">
        <v>56</v>
      </c>
    </row>
    <row r="517" spans="1:10" x14ac:dyDescent="0.3">
      <c r="A517" s="2">
        <v>45645</v>
      </c>
      <c r="B517" t="s">
        <v>22</v>
      </c>
      <c r="C517" t="s">
        <v>28</v>
      </c>
      <c r="D517">
        <v>1000</v>
      </c>
      <c r="E517">
        <v>16</v>
      </c>
      <c r="F517">
        <v>4</v>
      </c>
      <c r="G517">
        <v>4000</v>
      </c>
      <c r="H517">
        <v>16000</v>
      </c>
      <c r="I517">
        <v>12000</v>
      </c>
      <c r="J517">
        <v>75</v>
      </c>
    </row>
    <row r="518" spans="1:10" x14ac:dyDescent="0.3">
      <c r="A518" s="2">
        <v>45645</v>
      </c>
      <c r="B518" t="s">
        <v>22</v>
      </c>
      <c r="C518" t="s">
        <v>37</v>
      </c>
      <c r="D518">
        <v>1500</v>
      </c>
      <c r="E518">
        <v>10</v>
      </c>
      <c r="F518">
        <v>6</v>
      </c>
      <c r="G518">
        <v>9000</v>
      </c>
      <c r="H518">
        <v>15000</v>
      </c>
      <c r="I518">
        <v>6000</v>
      </c>
      <c r="J518">
        <v>40</v>
      </c>
    </row>
    <row r="519" spans="1:10" x14ac:dyDescent="0.3">
      <c r="A519" s="2">
        <v>45645</v>
      </c>
      <c r="B519" t="s">
        <v>24</v>
      </c>
      <c r="C519" t="s">
        <v>36</v>
      </c>
      <c r="D519">
        <v>2500</v>
      </c>
      <c r="E519">
        <v>13</v>
      </c>
      <c r="F519">
        <v>7</v>
      </c>
      <c r="G519">
        <v>17500</v>
      </c>
      <c r="H519">
        <v>32500</v>
      </c>
      <c r="I519">
        <v>15000</v>
      </c>
      <c r="J519">
        <v>46</v>
      </c>
    </row>
    <row r="520" spans="1:10" x14ac:dyDescent="0.3">
      <c r="A520" s="2">
        <v>45645</v>
      </c>
      <c r="B520" t="s">
        <v>23</v>
      </c>
      <c r="C520" t="s">
        <v>29</v>
      </c>
      <c r="D520">
        <v>2500</v>
      </c>
      <c r="E520">
        <v>9</v>
      </c>
      <c r="F520">
        <v>6</v>
      </c>
      <c r="G520">
        <v>15000</v>
      </c>
      <c r="H520">
        <v>22500</v>
      </c>
      <c r="I520">
        <v>7500</v>
      </c>
      <c r="J520">
        <v>33</v>
      </c>
    </row>
    <row r="521" spans="1:10" x14ac:dyDescent="0.3">
      <c r="A521" s="2">
        <v>45646</v>
      </c>
      <c r="B521" t="s">
        <v>24</v>
      </c>
      <c r="C521" t="s">
        <v>39</v>
      </c>
      <c r="D521">
        <v>2000</v>
      </c>
      <c r="E521">
        <v>9</v>
      </c>
      <c r="F521">
        <v>7</v>
      </c>
      <c r="G521">
        <v>14000</v>
      </c>
      <c r="H521">
        <v>18000</v>
      </c>
      <c r="I521">
        <v>4000</v>
      </c>
      <c r="J521">
        <v>22</v>
      </c>
    </row>
    <row r="522" spans="1:10" x14ac:dyDescent="0.3">
      <c r="A522" s="2">
        <v>45646</v>
      </c>
      <c r="B522" t="s">
        <v>23</v>
      </c>
      <c r="C522" t="s">
        <v>29</v>
      </c>
      <c r="D522">
        <v>2500</v>
      </c>
      <c r="E522">
        <v>18</v>
      </c>
      <c r="F522">
        <v>14</v>
      </c>
      <c r="G522">
        <v>35000</v>
      </c>
      <c r="H522">
        <v>45000</v>
      </c>
      <c r="I522">
        <v>10000</v>
      </c>
      <c r="J522">
        <v>22</v>
      </c>
    </row>
    <row r="523" spans="1:10" x14ac:dyDescent="0.3">
      <c r="A523" s="2">
        <v>45646</v>
      </c>
      <c r="B523" t="s">
        <v>23</v>
      </c>
      <c r="C523" t="s">
        <v>27</v>
      </c>
      <c r="D523">
        <v>500</v>
      </c>
      <c r="E523">
        <v>15</v>
      </c>
      <c r="F523">
        <v>13</v>
      </c>
      <c r="G523">
        <v>6500</v>
      </c>
      <c r="H523">
        <v>7500</v>
      </c>
      <c r="I523">
        <v>1000</v>
      </c>
      <c r="J523">
        <v>13</v>
      </c>
    </row>
    <row r="524" spans="1:10" x14ac:dyDescent="0.3">
      <c r="A524" s="2">
        <v>45647</v>
      </c>
      <c r="B524" t="s">
        <v>24</v>
      </c>
      <c r="C524" t="s">
        <v>30</v>
      </c>
      <c r="D524">
        <v>2000</v>
      </c>
      <c r="E524">
        <v>18</v>
      </c>
      <c r="F524">
        <v>16</v>
      </c>
      <c r="G524">
        <v>32000</v>
      </c>
      <c r="H524">
        <v>36000</v>
      </c>
      <c r="I524">
        <v>4000</v>
      </c>
      <c r="J524">
        <v>11</v>
      </c>
    </row>
    <row r="525" spans="1:10" x14ac:dyDescent="0.3">
      <c r="A525" s="2">
        <v>45647</v>
      </c>
      <c r="B525" t="s">
        <v>22</v>
      </c>
      <c r="C525" t="s">
        <v>37</v>
      </c>
      <c r="D525">
        <v>2000</v>
      </c>
      <c r="E525">
        <v>19</v>
      </c>
      <c r="F525">
        <v>17</v>
      </c>
      <c r="G525">
        <v>34000</v>
      </c>
      <c r="H525">
        <v>38000</v>
      </c>
      <c r="I525">
        <v>4000</v>
      </c>
      <c r="J525">
        <v>11</v>
      </c>
    </row>
    <row r="526" spans="1:10" x14ac:dyDescent="0.3">
      <c r="A526" s="2">
        <v>45647</v>
      </c>
      <c r="B526" t="s">
        <v>24</v>
      </c>
      <c r="C526" t="s">
        <v>32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 s="2">
        <v>45647</v>
      </c>
      <c r="B527" t="s">
        <v>22</v>
      </c>
      <c r="C527" t="s">
        <v>28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 s="2">
        <v>45647</v>
      </c>
      <c r="B528" t="s">
        <v>24</v>
      </c>
      <c r="C528" t="s">
        <v>39</v>
      </c>
      <c r="D528">
        <v>1500</v>
      </c>
      <c r="E528">
        <v>18</v>
      </c>
      <c r="F528">
        <v>7</v>
      </c>
      <c r="G528">
        <v>10500</v>
      </c>
      <c r="H528">
        <v>27000</v>
      </c>
      <c r="I528">
        <v>16500</v>
      </c>
      <c r="J528">
        <v>61</v>
      </c>
    </row>
    <row r="529" spans="1:10" x14ac:dyDescent="0.3">
      <c r="A529" s="2">
        <v>45648</v>
      </c>
      <c r="B529" t="s">
        <v>24</v>
      </c>
      <c r="C529" t="s">
        <v>36</v>
      </c>
      <c r="D529">
        <v>2500</v>
      </c>
      <c r="E529">
        <v>10</v>
      </c>
      <c r="F529">
        <v>3</v>
      </c>
      <c r="G529">
        <v>7500</v>
      </c>
      <c r="H529">
        <v>25000</v>
      </c>
      <c r="I529">
        <v>17500</v>
      </c>
      <c r="J529">
        <v>70</v>
      </c>
    </row>
    <row r="530" spans="1:10" x14ac:dyDescent="0.3">
      <c r="A530" s="2">
        <v>45648</v>
      </c>
      <c r="B530" t="s">
        <v>23</v>
      </c>
      <c r="C530" t="s">
        <v>31</v>
      </c>
      <c r="D530">
        <v>2500</v>
      </c>
      <c r="E530">
        <v>7</v>
      </c>
      <c r="F530">
        <v>4</v>
      </c>
      <c r="G530">
        <v>10000</v>
      </c>
      <c r="H530">
        <v>17500</v>
      </c>
      <c r="I530">
        <v>7500</v>
      </c>
      <c r="J530">
        <v>43</v>
      </c>
    </row>
    <row r="531" spans="1:10" x14ac:dyDescent="0.3">
      <c r="A531" s="2">
        <v>45648</v>
      </c>
      <c r="B531" t="s">
        <v>22</v>
      </c>
      <c r="C531" t="s">
        <v>25</v>
      </c>
      <c r="D531">
        <v>1000</v>
      </c>
      <c r="E531">
        <v>11</v>
      </c>
      <c r="F531">
        <v>9</v>
      </c>
      <c r="G531">
        <v>9000</v>
      </c>
      <c r="H531">
        <v>11000</v>
      </c>
      <c r="I531">
        <v>2000</v>
      </c>
      <c r="J531">
        <v>18</v>
      </c>
    </row>
    <row r="532" spans="1:10" x14ac:dyDescent="0.3">
      <c r="A532" s="2">
        <v>45648</v>
      </c>
      <c r="B532" t="s">
        <v>22</v>
      </c>
      <c r="C532" t="s">
        <v>28</v>
      </c>
      <c r="D532">
        <v>2000</v>
      </c>
      <c r="E532">
        <v>17</v>
      </c>
      <c r="F532">
        <v>8</v>
      </c>
      <c r="G532">
        <v>16000</v>
      </c>
      <c r="H532">
        <v>34000</v>
      </c>
      <c r="I532">
        <v>18000</v>
      </c>
      <c r="J532">
        <v>53</v>
      </c>
    </row>
    <row r="533" spans="1:10" x14ac:dyDescent="0.3">
      <c r="A533" s="2">
        <v>45649</v>
      </c>
      <c r="B533" t="s">
        <v>22</v>
      </c>
      <c r="C533" t="s">
        <v>25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">
      <c r="A534" s="2">
        <v>45649</v>
      </c>
      <c r="B534" t="s">
        <v>24</v>
      </c>
      <c r="C534" t="s">
        <v>35</v>
      </c>
      <c r="D534">
        <v>2500</v>
      </c>
      <c r="E534">
        <v>16</v>
      </c>
      <c r="F534">
        <v>6</v>
      </c>
      <c r="G534">
        <v>15000</v>
      </c>
      <c r="H534">
        <v>40000</v>
      </c>
      <c r="I534">
        <v>25000</v>
      </c>
      <c r="J534">
        <v>62</v>
      </c>
    </row>
    <row r="535" spans="1:10" x14ac:dyDescent="0.3">
      <c r="A535" s="2">
        <v>45649</v>
      </c>
      <c r="B535" t="s">
        <v>22</v>
      </c>
      <c r="C535" t="s">
        <v>34</v>
      </c>
      <c r="D535">
        <v>1000</v>
      </c>
      <c r="E535">
        <v>12</v>
      </c>
      <c r="F535">
        <v>11</v>
      </c>
      <c r="G535">
        <v>11000</v>
      </c>
      <c r="H535">
        <v>12000</v>
      </c>
      <c r="I535">
        <v>1000</v>
      </c>
      <c r="J535">
        <v>8</v>
      </c>
    </row>
    <row r="536" spans="1:10" x14ac:dyDescent="0.3">
      <c r="A536" s="2">
        <v>45649</v>
      </c>
      <c r="B536" t="s">
        <v>24</v>
      </c>
      <c r="C536" t="s">
        <v>36</v>
      </c>
      <c r="D536">
        <v>2500</v>
      </c>
      <c r="E536">
        <v>8</v>
      </c>
      <c r="F536">
        <v>3</v>
      </c>
      <c r="G536">
        <v>7500</v>
      </c>
      <c r="H536">
        <v>20000</v>
      </c>
      <c r="I536">
        <v>12500</v>
      </c>
      <c r="J536">
        <v>62</v>
      </c>
    </row>
    <row r="537" spans="1:10" x14ac:dyDescent="0.3">
      <c r="A537" s="2">
        <v>45649</v>
      </c>
      <c r="B537" t="s">
        <v>24</v>
      </c>
      <c r="C537" t="s">
        <v>39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">
      <c r="A538" s="2">
        <v>45649</v>
      </c>
      <c r="B538" t="s">
        <v>24</v>
      </c>
      <c r="C538" t="s">
        <v>39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 s="2">
        <v>45650</v>
      </c>
      <c r="B539" t="s">
        <v>23</v>
      </c>
      <c r="C539" t="s">
        <v>26</v>
      </c>
      <c r="D539">
        <v>1500</v>
      </c>
      <c r="E539">
        <v>10</v>
      </c>
      <c r="F539">
        <v>7</v>
      </c>
      <c r="G539">
        <v>10500</v>
      </c>
      <c r="H539">
        <v>15000</v>
      </c>
      <c r="I539">
        <v>4500</v>
      </c>
      <c r="J539">
        <v>30</v>
      </c>
    </row>
    <row r="540" spans="1:10" x14ac:dyDescent="0.3">
      <c r="A540" s="2">
        <v>45650</v>
      </c>
      <c r="B540" t="s">
        <v>23</v>
      </c>
      <c r="C540" t="s">
        <v>29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 s="2">
        <v>45650</v>
      </c>
      <c r="B541" t="s">
        <v>23</v>
      </c>
      <c r="C541" t="s">
        <v>38</v>
      </c>
      <c r="D541">
        <v>1500</v>
      </c>
      <c r="E541">
        <v>8</v>
      </c>
      <c r="F541">
        <v>4</v>
      </c>
      <c r="G541">
        <v>6000</v>
      </c>
      <c r="H541">
        <v>12000</v>
      </c>
      <c r="I541">
        <v>6000</v>
      </c>
      <c r="J541">
        <v>50</v>
      </c>
    </row>
    <row r="542" spans="1:10" x14ac:dyDescent="0.3">
      <c r="A542" s="2">
        <v>45650</v>
      </c>
      <c r="B542" t="s">
        <v>22</v>
      </c>
      <c r="C542" t="s">
        <v>25</v>
      </c>
      <c r="D542">
        <v>1000</v>
      </c>
      <c r="E542">
        <v>15</v>
      </c>
      <c r="F542">
        <v>6</v>
      </c>
      <c r="G542">
        <v>6000</v>
      </c>
      <c r="H542">
        <v>15000</v>
      </c>
      <c r="I542">
        <v>9000</v>
      </c>
      <c r="J542">
        <v>60</v>
      </c>
    </row>
    <row r="543" spans="1:10" x14ac:dyDescent="0.3">
      <c r="A543" s="2">
        <v>45650</v>
      </c>
      <c r="B543" t="s">
        <v>24</v>
      </c>
      <c r="C543" t="s">
        <v>39</v>
      </c>
      <c r="D543">
        <v>1500</v>
      </c>
      <c r="E543">
        <v>11</v>
      </c>
      <c r="F543">
        <v>10</v>
      </c>
      <c r="G543">
        <v>15000</v>
      </c>
      <c r="H543">
        <v>16500</v>
      </c>
      <c r="I543">
        <v>1500</v>
      </c>
      <c r="J543">
        <v>9</v>
      </c>
    </row>
    <row r="544" spans="1:10" x14ac:dyDescent="0.3">
      <c r="A544" s="2">
        <v>45650</v>
      </c>
      <c r="B544" t="s">
        <v>22</v>
      </c>
      <c r="C544" t="s">
        <v>28</v>
      </c>
      <c r="D544">
        <v>500</v>
      </c>
      <c r="E544">
        <v>6</v>
      </c>
      <c r="F544">
        <v>4</v>
      </c>
      <c r="G544">
        <v>2000</v>
      </c>
      <c r="H544">
        <v>3000</v>
      </c>
      <c r="I544">
        <v>1000</v>
      </c>
      <c r="J544">
        <v>33</v>
      </c>
    </row>
    <row r="545" spans="1:10" x14ac:dyDescent="0.3">
      <c r="A545" s="2">
        <v>45650</v>
      </c>
      <c r="B545" t="s">
        <v>22</v>
      </c>
      <c r="C545" t="s">
        <v>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 s="2">
        <v>45650</v>
      </c>
      <c r="B546" t="s">
        <v>22</v>
      </c>
      <c r="C546" t="s">
        <v>25</v>
      </c>
      <c r="D546">
        <v>1500</v>
      </c>
      <c r="E546">
        <v>6</v>
      </c>
      <c r="F546">
        <v>3</v>
      </c>
      <c r="G546">
        <v>4500</v>
      </c>
      <c r="H546">
        <v>9000</v>
      </c>
      <c r="I546">
        <v>4500</v>
      </c>
      <c r="J546">
        <v>50</v>
      </c>
    </row>
    <row r="547" spans="1:10" x14ac:dyDescent="0.3">
      <c r="A547" s="2">
        <v>45650</v>
      </c>
      <c r="B547" t="s">
        <v>24</v>
      </c>
      <c r="C547" t="s">
        <v>32</v>
      </c>
      <c r="D547">
        <v>500</v>
      </c>
      <c r="E547">
        <v>20</v>
      </c>
      <c r="F547">
        <v>11</v>
      </c>
      <c r="G547">
        <v>5500</v>
      </c>
      <c r="H547">
        <v>10000</v>
      </c>
      <c r="I547">
        <v>4500</v>
      </c>
      <c r="J547">
        <v>45</v>
      </c>
    </row>
    <row r="548" spans="1:10" x14ac:dyDescent="0.3">
      <c r="A548" s="2">
        <v>45650</v>
      </c>
      <c r="B548" t="s">
        <v>24</v>
      </c>
      <c r="C548" t="s">
        <v>39</v>
      </c>
      <c r="D548">
        <v>500</v>
      </c>
      <c r="E548">
        <v>17</v>
      </c>
      <c r="F548">
        <v>5</v>
      </c>
      <c r="G548">
        <v>2500</v>
      </c>
      <c r="H548">
        <v>8500</v>
      </c>
      <c r="I548">
        <v>6000</v>
      </c>
      <c r="J548">
        <v>71</v>
      </c>
    </row>
    <row r="549" spans="1:10" x14ac:dyDescent="0.3">
      <c r="A549" s="2">
        <v>45651</v>
      </c>
      <c r="B549" t="s">
        <v>23</v>
      </c>
      <c r="C549" t="s">
        <v>38</v>
      </c>
      <c r="D549">
        <v>500</v>
      </c>
      <c r="E549">
        <v>7</v>
      </c>
      <c r="F549">
        <v>5</v>
      </c>
      <c r="G549">
        <v>2500</v>
      </c>
      <c r="H549">
        <v>3500</v>
      </c>
      <c r="I549">
        <v>1000</v>
      </c>
      <c r="J549">
        <v>29</v>
      </c>
    </row>
    <row r="550" spans="1:10" x14ac:dyDescent="0.3">
      <c r="A550" s="2">
        <v>45651</v>
      </c>
      <c r="B550" t="s">
        <v>24</v>
      </c>
      <c r="C550" t="s">
        <v>39</v>
      </c>
      <c r="D550">
        <v>1500</v>
      </c>
      <c r="E550">
        <v>19</v>
      </c>
      <c r="F550">
        <v>7</v>
      </c>
      <c r="G550">
        <v>10500</v>
      </c>
      <c r="H550">
        <v>28500</v>
      </c>
      <c r="I550">
        <v>18000</v>
      </c>
      <c r="J550">
        <v>63</v>
      </c>
    </row>
    <row r="551" spans="1:10" x14ac:dyDescent="0.3">
      <c r="A551" s="2">
        <v>45651</v>
      </c>
      <c r="B551" t="s">
        <v>23</v>
      </c>
      <c r="C551" t="s">
        <v>27</v>
      </c>
      <c r="D551">
        <v>1500</v>
      </c>
      <c r="E551">
        <v>10</v>
      </c>
      <c r="F551">
        <v>3</v>
      </c>
      <c r="G551">
        <v>4500</v>
      </c>
      <c r="H551">
        <v>15000</v>
      </c>
      <c r="I551">
        <v>10500</v>
      </c>
      <c r="J551">
        <v>70</v>
      </c>
    </row>
    <row r="552" spans="1:10" x14ac:dyDescent="0.3">
      <c r="A552" s="2">
        <v>45651</v>
      </c>
      <c r="B552" t="s">
        <v>24</v>
      </c>
      <c r="C552" t="s">
        <v>36</v>
      </c>
      <c r="D552">
        <v>1500</v>
      </c>
      <c r="E552">
        <v>11</v>
      </c>
      <c r="F552">
        <v>3</v>
      </c>
      <c r="G552">
        <v>4500</v>
      </c>
      <c r="H552">
        <v>16500</v>
      </c>
      <c r="I552">
        <v>12000</v>
      </c>
      <c r="J552">
        <v>73</v>
      </c>
    </row>
    <row r="553" spans="1:10" x14ac:dyDescent="0.3">
      <c r="A553" s="2">
        <v>45651</v>
      </c>
      <c r="B553" t="s">
        <v>22</v>
      </c>
      <c r="C553" t="s">
        <v>33</v>
      </c>
      <c r="D553">
        <v>2000</v>
      </c>
      <c r="E553">
        <v>8</v>
      </c>
      <c r="F553">
        <v>6</v>
      </c>
      <c r="G553">
        <v>12000</v>
      </c>
      <c r="H553">
        <v>16000</v>
      </c>
      <c r="I553">
        <v>4000</v>
      </c>
      <c r="J553">
        <v>25</v>
      </c>
    </row>
    <row r="554" spans="1:10" x14ac:dyDescent="0.3">
      <c r="A554" s="2">
        <v>45651</v>
      </c>
      <c r="B554" t="s">
        <v>22</v>
      </c>
      <c r="C554" t="s">
        <v>34</v>
      </c>
      <c r="D554">
        <v>2000</v>
      </c>
      <c r="E554">
        <v>5</v>
      </c>
      <c r="F554">
        <v>4</v>
      </c>
      <c r="G554">
        <v>8000</v>
      </c>
      <c r="H554">
        <v>10000</v>
      </c>
      <c r="I554">
        <v>2000</v>
      </c>
      <c r="J554">
        <v>20</v>
      </c>
    </row>
    <row r="555" spans="1:10" x14ac:dyDescent="0.3">
      <c r="A555" s="2">
        <v>45651</v>
      </c>
      <c r="B555" t="s">
        <v>22</v>
      </c>
      <c r="C555" t="s">
        <v>25</v>
      </c>
      <c r="D555">
        <v>2500</v>
      </c>
      <c r="E555">
        <v>5</v>
      </c>
      <c r="F555">
        <v>3</v>
      </c>
      <c r="G555">
        <v>7500</v>
      </c>
      <c r="H555">
        <v>12500</v>
      </c>
      <c r="I555">
        <v>5000</v>
      </c>
      <c r="J555">
        <v>40</v>
      </c>
    </row>
    <row r="556" spans="1:10" x14ac:dyDescent="0.3">
      <c r="A556" s="2">
        <v>45651</v>
      </c>
      <c r="B556" t="s">
        <v>23</v>
      </c>
      <c r="C556" t="s">
        <v>29</v>
      </c>
      <c r="D556">
        <v>1000</v>
      </c>
      <c r="E556">
        <v>15</v>
      </c>
      <c r="F556">
        <v>14</v>
      </c>
      <c r="G556">
        <v>14000</v>
      </c>
      <c r="H556">
        <v>15000</v>
      </c>
      <c r="I556">
        <v>1000</v>
      </c>
      <c r="J556">
        <v>7</v>
      </c>
    </row>
    <row r="557" spans="1:10" x14ac:dyDescent="0.3">
      <c r="A557" s="2">
        <v>45651</v>
      </c>
      <c r="B557" t="s">
        <v>24</v>
      </c>
      <c r="C557" t="s">
        <v>30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s="2">
        <v>45651</v>
      </c>
      <c r="B558" t="s">
        <v>23</v>
      </c>
      <c r="C558" t="s">
        <v>38</v>
      </c>
      <c r="D558">
        <v>1500</v>
      </c>
      <c r="E558">
        <v>13</v>
      </c>
      <c r="F558">
        <v>9</v>
      </c>
      <c r="G558">
        <v>13500</v>
      </c>
      <c r="H558">
        <v>19500</v>
      </c>
      <c r="I558">
        <v>6000</v>
      </c>
      <c r="J558">
        <v>31</v>
      </c>
    </row>
    <row r="559" spans="1:10" x14ac:dyDescent="0.3">
      <c r="A559" s="2">
        <v>45652</v>
      </c>
      <c r="B559" t="s">
        <v>23</v>
      </c>
      <c r="C559" t="s">
        <v>31</v>
      </c>
      <c r="D559">
        <v>2000</v>
      </c>
      <c r="E559">
        <v>8</v>
      </c>
      <c r="F559">
        <v>6</v>
      </c>
      <c r="G559">
        <v>12000</v>
      </c>
      <c r="H559">
        <v>16000</v>
      </c>
      <c r="I559">
        <v>4000</v>
      </c>
      <c r="J559">
        <v>25</v>
      </c>
    </row>
    <row r="560" spans="1:10" x14ac:dyDescent="0.3">
      <c r="A560" s="2">
        <v>45652</v>
      </c>
      <c r="B560" t="s">
        <v>24</v>
      </c>
      <c r="C560" t="s">
        <v>35</v>
      </c>
      <c r="D560">
        <v>1000</v>
      </c>
      <c r="E560">
        <v>14</v>
      </c>
      <c r="F560">
        <v>13</v>
      </c>
      <c r="G560">
        <v>13000</v>
      </c>
      <c r="H560">
        <v>14000</v>
      </c>
      <c r="I560">
        <v>1000</v>
      </c>
      <c r="J560">
        <v>7</v>
      </c>
    </row>
    <row r="561" spans="1:10" x14ac:dyDescent="0.3">
      <c r="A561" s="2">
        <v>45652</v>
      </c>
      <c r="B561" t="s">
        <v>24</v>
      </c>
      <c r="C561" t="s">
        <v>39</v>
      </c>
      <c r="D561">
        <v>1500</v>
      </c>
      <c r="E561">
        <v>20</v>
      </c>
      <c r="F561">
        <v>10</v>
      </c>
      <c r="G561">
        <v>15000</v>
      </c>
      <c r="H561">
        <v>30000</v>
      </c>
      <c r="I561">
        <v>15000</v>
      </c>
      <c r="J561">
        <v>50</v>
      </c>
    </row>
    <row r="562" spans="1:10" x14ac:dyDescent="0.3">
      <c r="A562" s="2">
        <v>45652</v>
      </c>
      <c r="B562" t="s">
        <v>22</v>
      </c>
      <c r="C562" t="s">
        <v>25</v>
      </c>
      <c r="D562">
        <v>2000</v>
      </c>
      <c r="E562">
        <v>8</v>
      </c>
      <c r="F562">
        <v>3</v>
      </c>
      <c r="G562">
        <v>6000</v>
      </c>
      <c r="H562">
        <v>16000</v>
      </c>
      <c r="I562">
        <v>10000</v>
      </c>
      <c r="J562">
        <v>62</v>
      </c>
    </row>
    <row r="563" spans="1:10" x14ac:dyDescent="0.3">
      <c r="A563" s="2">
        <v>45652</v>
      </c>
      <c r="B563" t="s">
        <v>24</v>
      </c>
      <c r="C563" t="s">
        <v>35</v>
      </c>
      <c r="D563">
        <v>500</v>
      </c>
      <c r="E563">
        <v>8</v>
      </c>
      <c r="F563">
        <v>4</v>
      </c>
      <c r="G563">
        <v>2000</v>
      </c>
      <c r="H563">
        <v>4000</v>
      </c>
      <c r="I563">
        <v>2000</v>
      </c>
      <c r="J563">
        <v>50</v>
      </c>
    </row>
    <row r="564" spans="1:10" x14ac:dyDescent="0.3">
      <c r="A564" s="2">
        <v>45652</v>
      </c>
      <c r="B564" t="s">
        <v>23</v>
      </c>
      <c r="C564" t="s">
        <v>29</v>
      </c>
      <c r="D564">
        <v>1500</v>
      </c>
      <c r="E564">
        <v>13</v>
      </c>
      <c r="F564">
        <v>10</v>
      </c>
      <c r="G564">
        <v>15000</v>
      </c>
      <c r="H564">
        <v>19500</v>
      </c>
      <c r="I564">
        <v>4500</v>
      </c>
      <c r="J564">
        <v>23</v>
      </c>
    </row>
    <row r="565" spans="1:10" x14ac:dyDescent="0.3">
      <c r="A565" s="2">
        <v>45653</v>
      </c>
      <c r="B565" t="s">
        <v>24</v>
      </c>
      <c r="C565" t="s">
        <v>30</v>
      </c>
      <c r="D565">
        <v>2000</v>
      </c>
      <c r="E565">
        <v>11</v>
      </c>
      <c r="F565">
        <v>3</v>
      </c>
      <c r="G565">
        <v>6000</v>
      </c>
      <c r="H565">
        <v>22000</v>
      </c>
      <c r="I565">
        <v>16000</v>
      </c>
      <c r="J565">
        <v>73</v>
      </c>
    </row>
    <row r="566" spans="1:10" x14ac:dyDescent="0.3">
      <c r="A566" s="2">
        <v>45653</v>
      </c>
      <c r="B566" t="s">
        <v>22</v>
      </c>
      <c r="C566" t="s">
        <v>37</v>
      </c>
      <c r="D566">
        <v>1500</v>
      </c>
      <c r="E566">
        <v>11</v>
      </c>
      <c r="F566">
        <v>4</v>
      </c>
      <c r="G566">
        <v>6000</v>
      </c>
      <c r="H566">
        <v>16500</v>
      </c>
      <c r="I566">
        <v>10500</v>
      </c>
      <c r="J566">
        <v>64</v>
      </c>
    </row>
    <row r="567" spans="1:10" x14ac:dyDescent="0.3">
      <c r="A567" s="2">
        <v>45653</v>
      </c>
      <c r="B567" t="s">
        <v>22</v>
      </c>
      <c r="C567" t="s">
        <v>34</v>
      </c>
      <c r="D567">
        <v>500</v>
      </c>
      <c r="E567">
        <v>11</v>
      </c>
      <c r="F567">
        <v>9</v>
      </c>
      <c r="G567">
        <v>4500</v>
      </c>
      <c r="H567">
        <v>5500</v>
      </c>
      <c r="I567">
        <v>1000</v>
      </c>
      <c r="J567">
        <v>18</v>
      </c>
    </row>
    <row r="568" spans="1:10" x14ac:dyDescent="0.3">
      <c r="A568" s="2">
        <v>45653</v>
      </c>
      <c r="B568" t="s">
        <v>24</v>
      </c>
      <c r="C568" t="s">
        <v>35</v>
      </c>
      <c r="D568">
        <v>2500</v>
      </c>
      <c r="E568">
        <v>7</v>
      </c>
      <c r="F568">
        <v>3</v>
      </c>
      <c r="G568">
        <v>7500</v>
      </c>
      <c r="H568">
        <v>17500</v>
      </c>
      <c r="I568">
        <v>10000</v>
      </c>
      <c r="J568">
        <v>57</v>
      </c>
    </row>
    <row r="569" spans="1:10" x14ac:dyDescent="0.3">
      <c r="A569" s="2">
        <v>45653</v>
      </c>
      <c r="B569" t="s">
        <v>24</v>
      </c>
      <c r="C569" t="s">
        <v>36</v>
      </c>
      <c r="D569">
        <v>1000</v>
      </c>
      <c r="E569">
        <v>20</v>
      </c>
      <c r="F569">
        <v>3</v>
      </c>
      <c r="G569">
        <v>3000</v>
      </c>
      <c r="H569">
        <v>20000</v>
      </c>
      <c r="I569">
        <v>17000</v>
      </c>
      <c r="J569">
        <v>85</v>
      </c>
    </row>
    <row r="570" spans="1:10" x14ac:dyDescent="0.3">
      <c r="A570" s="2">
        <v>45654</v>
      </c>
      <c r="B570" t="s">
        <v>23</v>
      </c>
      <c r="C570" t="s">
        <v>31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">
      <c r="A571" s="2">
        <v>45654</v>
      </c>
      <c r="B571" t="s">
        <v>24</v>
      </c>
      <c r="C571" t="s">
        <v>30</v>
      </c>
      <c r="D571">
        <v>2000</v>
      </c>
      <c r="E571">
        <v>5</v>
      </c>
      <c r="F571">
        <v>4</v>
      </c>
      <c r="G571">
        <v>8000</v>
      </c>
      <c r="H571">
        <v>10000</v>
      </c>
      <c r="I571">
        <v>2000</v>
      </c>
      <c r="J571">
        <v>20</v>
      </c>
    </row>
    <row r="572" spans="1:10" x14ac:dyDescent="0.3">
      <c r="A572" s="2">
        <v>45654</v>
      </c>
      <c r="B572" t="s">
        <v>23</v>
      </c>
      <c r="C572" t="s">
        <v>29</v>
      </c>
      <c r="D572">
        <v>2500</v>
      </c>
      <c r="E572">
        <v>20</v>
      </c>
      <c r="F572">
        <v>3</v>
      </c>
      <c r="G572">
        <v>7500</v>
      </c>
      <c r="H572">
        <v>50000</v>
      </c>
      <c r="I572">
        <v>42500</v>
      </c>
      <c r="J572">
        <v>85</v>
      </c>
    </row>
    <row r="573" spans="1:10" x14ac:dyDescent="0.3">
      <c r="A573" s="2">
        <v>45654</v>
      </c>
      <c r="B573" t="s">
        <v>22</v>
      </c>
      <c r="C573" t="s">
        <v>28</v>
      </c>
      <c r="D573">
        <v>500</v>
      </c>
      <c r="E573">
        <v>13</v>
      </c>
      <c r="F573">
        <v>7</v>
      </c>
      <c r="G573">
        <v>3500</v>
      </c>
      <c r="H573">
        <v>6500</v>
      </c>
      <c r="I573">
        <v>3000</v>
      </c>
      <c r="J573">
        <v>46</v>
      </c>
    </row>
    <row r="574" spans="1:10" x14ac:dyDescent="0.3">
      <c r="A574" s="2">
        <v>45654</v>
      </c>
      <c r="B574" t="s">
        <v>22</v>
      </c>
      <c r="C574" t="s">
        <v>33</v>
      </c>
      <c r="D574">
        <v>2500</v>
      </c>
      <c r="E574">
        <v>13</v>
      </c>
      <c r="F574">
        <v>8</v>
      </c>
      <c r="G574">
        <v>20000</v>
      </c>
      <c r="H574">
        <v>32500</v>
      </c>
      <c r="I574">
        <v>12500</v>
      </c>
      <c r="J574">
        <v>38</v>
      </c>
    </row>
    <row r="575" spans="1:10" x14ac:dyDescent="0.3">
      <c r="A575" s="2">
        <v>45654</v>
      </c>
      <c r="B575" t="s">
        <v>23</v>
      </c>
      <c r="C575" t="s">
        <v>26</v>
      </c>
      <c r="D575">
        <v>500</v>
      </c>
      <c r="E575">
        <v>12</v>
      </c>
      <c r="F575">
        <v>5</v>
      </c>
      <c r="G575">
        <v>2500</v>
      </c>
      <c r="H575">
        <v>6000</v>
      </c>
      <c r="I575">
        <v>3500</v>
      </c>
      <c r="J575">
        <v>58</v>
      </c>
    </row>
    <row r="576" spans="1:10" x14ac:dyDescent="0.3">
      <c r="A576" s="2">
        <v>45654</v>
      </c>
      <c r="B576" t="s">
        <v>23</v>
      </c>
      <c r="C576" t="s">
        <v>38</v>
      </c>
      <c r="D576">
        <v>2000</v>
      </c>
      <c r="E576">
        <v>11</v>
      </c>
      <c r="F576">
        <v>10</v>
      </c>
      <c r="G576">
        <v>20000</v>
      </c>
      <c r="H576">
        <v>22000</v>
      </c>
      <c r="I576">
        <v>2000</v>
      </c>
      <c r="J576">
        <v>9</v>
      </c>
    </row>
    <row r="577" spans="1:10" x14ac:dyDescent="0.3">
      <c r="A577" s="2">
        <v>45654</v>
      </c>
      <c r="B577" t="s">
        <v>22</v>
      </c>
      <c r="C577" t="s">
        <v>34</v>
      </c>
      <c r="D577">
        <v>2500</v>
      </c>
      <c r="E577">
        <v>8</v>
      </c>
      <c r="F577">
        <v>3</v>
      </c>
      <c r="G577">
        <v>7500</v>
      </c>
      <c r="H577">
        <v>20000</v>
      </c>
      <c r="I577">
        <v>12500</v>
      </c>
      <c r="J577">
        <v>62</v>
      </c>
    </row>
    <row r="578" spans="1:10" x14ac:dyDescent="0.3">
      <c r="A578" s="2">
        <v>45654</v>
      </c>
      <c r="B578" t="s">
        <v>23</v>
      </c>
      <c r="C578" t="s">
        <v>26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s="2">
        <v>45654</v>
      </c>
      <c r="B579" t="s">
        <v>23</v>
      </c>
      <c r="C579" t="s">
        <v>27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">
      <c r="A580" s="2">
        <v>45654</v>
      </c>
      <c r="B580" t="s">
        <v>22</v>
      </c>
      <c r="C580" t="s">
        <v>37</v>
      </c>
      <c r="D580">
        <v>1500</v>
      </c>
      <c r="E580">
        <v>13</v>
      </c>
      <c r="F580">
        <v>8</v>
      </c>
      <c r="G580">
        <v>12000</v>
      </c>
      <c r="H580">
        <v>19500</v>
      </c>
      <c r="I580">
        <v>7500</v>
      </c>
      <c r="J580">
        <v>38</v>
      </c>
    </row>
    <row r="581" spans="1:10" x14ac:dyDescent="0.3">
      <c r="A581" s="2">
        <v>45654</v>
      </c>
      <c r="B581" t="s">
        <v>23</v>
      </c>
      <c r="C581" t="s">
        <v>29</v>
      </c>
      <c r="D581">
        <v>2500</v>
      </c>
      <c r="E581">
        <v>15</v>
      </c>
      <c r="F581">
        <v>12</v>
      </c>
      <c r="G581">
        <v>30000</v>
      </c>
      <c r="H581">
        <v>37500</v>
      </c>
      <c r="I581">
        <v>7500</v>
      </c>
      <c r="J581">
        <v>20</v>
      </c>
    </row>
    <row r="582" spans="1:10" x14ac:dyDescent="0.3">
      <c r="A582" s="2">
        <v>45654</v>
      </c>
      <c r="B582" t="s">
        <v>24</v>
      </c>
      <c r="C582" t="s">
        <v>30</v>
      </c>
      <c r="D582">
        <v>500</v>
      </c>
      <c r="E582">
        <v>15</v>
      </c>
      <c r="F582">
        <v>13</v>
      </c>
      <c r="G582">
        <v>6500</v>
      </c>
      <c r="H582">
        <v>7500</v>
      </c>
      <c r="I582">
        <v>1000</v>
      </c>
      <c r="J582">
        <v>13</v>
      </c>
    </row>
    <row r="583" spans="1:10" x14ac:dyDescent="0.3">
      <c r="A583" s="2">
        <v>45654</v>
      </c>
      <c r="B583" t="s">
        <v>24</v>
      </c>
      <c r="C583" t="s">
        <v>39</v>
      </c>
      <c r="D583">
        <v>1500</v>
      </c>
      <c r="E583">
        <v>7</v>
      </c>
      <c r="F583">
        <v>4</v>
      </c>
      <c r="G583">
        <v>6000</v>
      </c>
      <c r="H583">
        <v>10500</v>
      </c>
      <c r="I583">
        <v>4500</v>
      </c>
      <c r="J583">
        <v>43</v>
      </c>
    </row>
    <row r="584" spans="1:10" x14ac:dyDescent="0.3">
      <c r="A584" s="2">
        <v>45655</v>
      </c>
      <c r="B584" t="s">
        <v>22</v>
      </c>
      <c r="C584" t="s">
        <v>33</v>
      </c>
      <c r="D584">
        <v>2000</v>
      </c>
      <c r="E584">
        <v>19</v>
      </c>
      <c r="F584">
        <v>16</v>
      </c>
      <c r="G584">
        <v>32000</v>
      </c>
      <c r="H584">
        <v>38000</v>
      </c>
      <c r="I584">
        <v>6000</v>
      </c>
      <c r="J584">
        <v>16</v>
      </c>
    </row>
    <row r="585" spans="1:10" x14ac:dyDescent="0.3">
      <c r="A585" s="2">
        <v>45655</v>
      </c>
      <c r="B585" t="s">
        <v>22</v>
      </c>
      <c r="C585" t="s">
        <v>33</v>
      </c>
      <c r="D585">
        <v>2500</v>
      </c>
      <c r="E585">
        <v>20</v>
      </c>
      <c r="F585">
        <v>16</v>
      </c>
      <c r="G585">
        <v>40000</v>
      </c>
      <c r="H585">
        <v>50000</v>
      </c>
      <c r="I585">
        <v>10000</v>
      </c>
      <c r="J585">
        <v>20</v>
      </c>
    </row>
    <row r="586" spans="1:10" x14ac:dyDescent="0.3">
      <c r="A586" s="2">
        <v>45655</v>
      </c>
      <c r="B586" t="s">
        <v>24</v>
      </c>
      <c r="C586" t="s">
        <v>39</v>
      </c>
      <c r="D586">
        <v>2500</v>
      </c>
      <c r="E586">
        <v>17</v>
      </c>
      <c r="F586">
        <v>14</v>
      </c>
      <c r="G586">
        <v>35000</v>
      </c>
      <c r="H586">
        <v>42500</v>
      </c>
      <c r="I586">
        <v>7500</v>
      </c>
      <c r="J586">
        <v>18</v>
      </c>
    </row>
    <row r="587" spans="1:10" x14ac:dyDescent="0.3">
      <c r="A587" s="2">
        <v>45655</v>
      </c>
      <c r="B587" t="s">
        <v>24</v>
      </c>
      <c r="C587" t="s">
        <v>36</v>
      </c>
      <c r="D587">
        <v>2500</v>
      </c>
      <c r="E587">
        <v>8</v>
      </c>
      <c r="F587">
        <v>6</v>
      </c>
      <c r="G587">
        <v>15000</v>
      </c>
      <c r="H587">
        <v>20000</v>
      </c>
      <c r="I587">
        <v>5000</v>
      </c>
      <c r="J587">
        <v>25</v>
      </c>
    </row>
    <row r="588" spans="1:10" x14ac:dyDescent="0.3">
      <c r="A588" s="2">
        <v>45655</v>
      </c>
      <c r="B588" t="s">
        <v>24</v>
      </c>
      <c r="C588" t="s">
        <v>30</v>
      </c>
      <c r="D588">
        <v>1000</v>
      </c>
      <c r="E588">
        <v>11</v>
      </c>
      <c r="F588">
        <v>5</v>
      </c>
      <c r="G588">
        <v>5000</v>
      </c>
      <c r="H588">
        <v>11000</v>
      </c>
      <c r="I588">
        <v>6000</v>
      </c>
      <c r="J588">
        <v>55</v>
      </c>
    </row>
    <row r="589" spans="1:10" x14ac:dyDescent="0.3">
      <c r="A589" s="2">
        <v>45655</v>
      </c>
      <c r="B589" t="s">
        <v>22</v>
      </c>
      <c r="C589" t="s">
        <v>34</v>
      </c>
      <c r="D589">
        <v>2000</v>
      </c>
      <c r="E589">
        <v>5</v>
      </c>
      <c r="F589">
        <v>3</v>
      </c>
      <c r="G589">
        <v>6000</v>
      </c>
      <c r="H589">
        <v>10000</v>
      </c>
      <c r="I589">
        <v>4000</v>
      </c>
      <c r="J589">
        <v>40</v>
      </c>
    </row>
    <row r="590" spans="1:10" x14ac:dyDescent="0.3">
      <c r="A590" s="2">
        <v>45655</v>
      </c>
      <c r="B590" t="s">
        <v>24</v>
      </c>
      <c r="C590" t="s">
        <v>35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s="2">
        <v>45656</v>
      </c>
      <c r="B591" t="s">
        <v>24</v>
      </c>
      <c r="C591" t="s">
        <v>39</v>
      </c>
      <c r="D591">
        <v>2000</v>
      </c>
      <c r="E591">
        <v>6</v>
      </c>
      <c r="F591">
        <v>3</v>
      </c>
      <c r="G591">
        <v>6000</v>
      </c>
      <c r="H591">
        <v>12000</v>
      </c>
      <c r="I591">
        <v>6000</v>
      </c>
      <c r="J591">
        <v>50</v>
      </c>
    </row>
    <row r="592" spans="1:10" x14ac:dyDescent="0.3">
      <c r="A592" s="2">
        <v>45656</v>
      </c>
      <c r="B592" t="s">
        <v>22</v>
      </c>
      <c r="C592" t="s">
        <v>34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">
      <c r="A593" s="2">
        <v>45656</v>
      </c>
      <c r="B593" t="s">
        <v>22</v>
      </c>
      <c r="C593" t="s">
        <v>28</v>
      </c>
      <c r="D593">
        <v>2500</v>
      </c>
      <c r="E593">
        <v>10</v>
      </c>
      <c r="F593">
        <v>8</v>
      </c>
      <c r="G593">
        <v>20000</v>
      </c>
      <c r="H593">
        <v>25000</v>
      </c>
      <c r="I593">
        <v>5000</v>
      </c>
      <c r="J593">
        <v>20</v>
      </c>
    </row>
    <row r="594" spans="1:10" x14ac:dyDescent="0.3">
      <c r="A594" s="2">
        <v>45656</v>
      </c>
      <c r="B594" t="s">
        <v>22</v>
      </c>
      <c r="C594" t="s">
        <v>25</v>
      </c>
      <c r="D594">
        <v>1000</v>
      </c>
      <c r="E594">
        <v>13</v>
      </c>
      <c r="F594">
        <v>8</v>
      </c>
      <c r="G594">
        <v>8000</v>
      </c>
      <c r="H594">
        <v>13000</v>
      </c>
      <c r="I594">
        <v>5000</v>
      </c>
      <c r="J594">
        <v>38</v>
      </c>
    </row>
    <row r="595" spans="1:10" x14ac:dyDescent="0.3">
      <c r="A595" s="2">
        <v>45657</v>
      </c>
      <c r="B595" t="s">
        <v>22</v>
      </c>
      <c r="C595" t="s">
        <v>25</v>
      </c>
      <c r="D595">
        <v>2500</v>
      </c>
      <c r="E595">
        <v>17</v>
      </c>
      <c r="F595">
        <v>14</v>
      </c>
      <c r="G595">
        <v>35000</v>
      </c>
      <c r="H595">
        <v>42500</v>
      </c>
      <c r="I595">
        <v>7500</v>
      </c>
      <c r="J595">
        <v>18</v>
      </c>
    </row>
    <row r="596" spans="1:10" x14ac:dyDescent="0.3">
      <c r="A596" s="2">
        <v>45657</v>
      </c>
      <c r="B596" t="s">
        <v>22</v>
      </c>
      <c r="C596" t="s">
        <v>25</v>
      </c>
      <c r="D596">
        <v>1500</v>
      </c>
      <c r="E596">
        <v>13</v>
      </c>
      <c r="F596">
        <v>8</v>
      </c>
      <c r="G596">
        <v>12000</v>
      </c>
      <c r="H596">
        <v>19500</v>
      </c>
      <c r="I596">
        <v>7500</v>
      </c>
      <c r="J596">
        <v>38</v>
      </c>
    </row>
    <row r="597" spans="1:10" x14ac:dyDescent="0.3">
      <c r="A597" s="2">
        <v>45657</v>
      </c>
      <c r="B597" t="s">
        <v>23</v>
      </c>
      <c r="C597" t="s">
        <v>26</v>
      </c>
      <c r="D597">
        <v>500</v>
      </c>
      <c r="E597">
        <v>9</v>
      </c>
      <c r="F597">
        <v>5</v>
      </c>
      <c r="G597">
        <v>2500</v>
      </c>
      <c r="H597">
        <v>4500</v>
      </c>
      <c r="I597">
        <v>2000</v>
      </c>
      <c r="J597">
        <v>44</v>
      </c>
    </row>
    <row r="598" spans="1:10" x14ac:dyDescent="0.3">
      <c r="A598" s="2">
        <v>45657</v>
      </c>
      <c r="B598" t="s">
        <v>23</v>
      </c>
      <c r="C598" t="s">
        <v>27</v>
      </c>
      <c r="D598">
        <v>2000</v>
      </c>
      <c r="E598">
        <v>17</v>
      </c>
      <c r="F598">
        <v>16</v>
      </c>
      <c r="G598">
        <v>32000</v>
      </c>
      <c r="H598">
        <v>34000</v>
      </c>
      <c r="I598">
        <v>2000</v>
      </c>
      <c r="J598">
        <v>6</v>
      </c>
    </row>
    <row r="599" spans="1:10" x14ac:dyDescent="0.3">
      <c r="A599" s="2">
        <v>45657</v>
      </c>
      <c r="B599" t="s">
        <v>24</v>
      </c>
      <c r="C599" t="s">
        <v>32</v>
      </c>
      <c r="D599">
        <v>2000</v>
      </c>
      <c r="E599">
        <v>6</v>
      </c>
      <c r="F599">
        <v>4</v>
      </c>
      <c r="G599">
        <v>8000</v>
      </c>
      <c r="H599">
        <v>12000</v>
      </c>
      <c r="I599">
        <v>4000</v>
      </c>
      <c r="J599">
        <v>33</v>
      </c>
    </row>
    <row r="600" spans="1:10" x14ac:dyDescent="0.3">
      <c r="A600" s="2">
        <v>45657</v>
      </c>
      <c r="B600" t="s">
        <v>24</v>
      </c>
      <c r="C600" t="s">
        <v>35</v>
      </c>
      <c r="D600">
        <v>2000</v>
      </c>
      <c r="E600">
        <v>17</v>
      </c>
      <c r="F600">
        <v>14</v>
      </c>
      <c r="G600">
        <v>28000</v>
      </c>
      <c r="H600">
        <v>34000</v>
      </c>
      <c r="I600">
        <v>6000</v>
      </c>
      <c r="J600">
        <v>18</v>
      </c>
    </row>
    <row r="601" spans="1:10" x14ac:dyDescent="0.3">
      <c r="A601" s="2">
        <v>45657</v>
      </c>
      <c r="B601" t="s">
        <v>23</v>
      </c>
      <c r="C601" t="s">
        <v>27</v>
      </c>
      <c r="D601">
        <v>1000</v>
      </c>
      <c r="E601">
        <v>20</v>
      </c>
      <c r="F601">
        <v>13</v>
      </c>
      <c r="G601">
        <v>13000</v>
      </c>
      <c r="H601">
        <v>20000</v>
      </c>
      <c r="I601">
        <v>7000</v>
      </c>
      <c r="J601">
        <v>35</v>
      </c>
    </row>
  </sheetData>
  <sortState xmlns:xlrd2="http://schemas.microsoft.com/office/spreadsheetml/2017/richdata2" ref="A2:J601">
    <sortCondition ref="A1:A6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7E0B-52E7-44E8-B6EE-A09B0F59E5F6}">
  <dimension ref="B2:D55"/>
  <sheetViews>
    <sheetView topLeftCell="A19" workbookViewId="0">
      <selection activeCell="N36" sqref="N36"/>
    </sheetView>
  </sheetViews>
  <sheetFormatPr defaultRowHeight="14.4" x14ac:dyDescent="0.3"/>
  <cols>
    <col min="2" max="2" width="13.44140625" customWidth="1"/>
    <col min="3" max="3" width="20.5546875" customWidth="1"/>
    <col min="4" max="4" width="13.6640625" customWidth="1"/>
  </cols>
  <sheetData>
    <row r="2" spans="2:4" x14ac:dyDescent="0.3">
      <c r="B2" t="s">
        <v>78</v>
      </c>
      <c r="C2" t="s">
        <v>95</v>
      </c>
      <c r="D2" t="s">
        <v>96</v>
      </c>
    </row>
    <row r="3" spans="2:4" x14ac:dyDescent="0.3">
      <c r="B3" t="s">
        <v>79</v>
      </c>
      <c r="C3">
        <f>COUNTIF('Sales Data'!C2:C601,"Ankit")</f>
        <v>40</v>
      </c>
      <c r="D3">
        <f>SUMIF('Sales Data'!C2:C601,"Ankit",'Sales Data'!I2:I601)</f>
        <v>288500</v>
      </c>
    </row>
    <row r="4" spans="2:4" x14ac:dyDescent="0.3">
      <c r="B4" t="s">
        <v>80</v>
      </c>
      <c r="C4">
        <f>COUNTIF('Sales Data'!C2:C601,"Car")</f>
        <v>39</v>
      </c>
      <c r="D4">
        <f>SUMIF('Sales Data'!C2:C601,"Car",'Sales Data'!I2:I601)</f>
        <v>401500</v>
      </c>
    </row>
    <row r="5" spans="2:4" x14ac:dyDescent="0.3">
      <c r="B5" t="s">
        <v>81</v>
      </c>
      <c r="C5">
        <f>COUNTIF('Sales Data'!C2:C601,"Monkey")</f>
        <v>48</v>
      </c>
      <c r="D5">
        <f>SUMIF('Sales Data'!C2:C601,"Monkey",'Sales Data'!I2:I601)</f>
        <v>250000</v>
      </c>
    </row>
    <row r="6" spans="2:4" x14ac:dyDescent="0.3">
      <c r="B6" t="s">
        <v>82</v>
      </c>
      <c r="C6">
        <f>COUNTIF('Sales Data'!C2:C601,"X")</f>
        <v>30</v>
      </c>
      <c r="D6">
        <f>SUMIF('Sales Data'!C2:C601,"X",'Sales Data'!I2:I601)</f>
        <v>280000</v>
      </c>
    </row>
    <row r="7" spans="2:4" x14ac:dyDescent="0.3">
      <c r="B7" t="s">
        <v>83</v>
      </c>
      <c r="C7">
        <f>COUNTIF('Sales Data'!C2:C601,"Avinash")</f>
        <v>38</v>
      </c>
      <c r="D7">
        <f>SUMIF('Sales Data'!C2:C601,"Avinash",'Sales Data'!I2:I601)</f>
        <v>341000</v>
      </c>
    </row>
    <row r="8" spans="2:4" x14ac:dyDescent="0.3">
      <c r="B8" t="s">
        <v>84</v>
      </c>
      <c r="C8">
        <f>COUNTIF('Sales Data'!C2:C601,"Doraemon")</f>
        <v>52</v>
      </c>
      <c r="D8">
        <f>SUMIF('Sales Data'!C2:C601,"Doraemon",'Sales Data'!I2:I601)</f>
        <v>434500</v>
      </c>
    </row>
    <row r="9" spans="2:4" x14ac:dyDescent="0.3">
      <c r="B9" t="s">
        <v>85</v>
      </c>
      <c r="C9">
        <f>COUNTIF('Sales Data'!C2:C601,"Perman")</f>
        <v>25</v>
      </c>
      <c r="D9">
        <f>SUMIF('Sales Data'!C2:C601,"Perman",'Sales Data'!I2:I601)</f>
        <v>165500</v>
      </c>
    </row>
    <row r="10" spans="2:4" x14ac:dyDescent="0.3">
      <c r="B10" t="s">
        <v>86</v>
      </c>
      <c r="C10">
        <f>COUNTIF('Sales Data'!C2:C601,"Shinchan")</f>
        <v>46</v>
      </c>
      <c r="D10">
        <f>SUMIF('Sales Data'!C2:C601,"Shinchan",'Sales Data'!I2:I601)</f>
        <v>344500</v>
      </c>
    </row>
    <row r="11" spans="2:4" x14ac:dyDescent="0.3">
      <c r="B11" t="s">
        <v>87</v>
      </c>
      <c r="C11">
        <f>COUNTIF('Sales Data'!C2:C601,"Nobita")</f>
        <v>39</v>
      </c>
      <c r="D11">
        <f>SUMIF('Sales Data'!C2:C601,"Nobita",'Sales Data'!I2:I601)</f>
        <v>164000</v>
      </c>
    </row>
    <row r="12" spans="2:4" x14ac:dyDescent="0.3">
      <c r="B12" t="s">
        <v>88</v>
      </c>
      <c r="C12">
        <f>COUNTIF('Sales Data'!C2:C601,"Flower")</f>
        <v>46</v>
      </c>
      <c r="D12">
        <f>SUMIF('Sales Data'!C2:C601,"Flower",'Sales Data'!I2:I601)</f>
        <v>333500</v>
      </c>
    </row>
    <row r="13" spans="2:4" x14ac:dyDescent="0.3">
      <c r="B13" t="s">
        <v>89</v>
      </c>
      <c r="C13">
        <f>COUNTIF('Sales Data'!C2:C601,"House")</f>
        <v>33</v>
      </c>
      <c r="D13">
        <f>SUMIF('Sales Data'!C2:C601,"House",'Sales Data'!I2:I601)</f>
        <v>191000</v>
      </c>
    </row>
    <row r="14" spans="2:4" x14ac:dyDescent="0.3">
      <c r="B14" t="s">
        <v>90</v>
      </c>
      <c r="C14">
        <f>COUNTIF('Sales Data'!C2:C601,"Adidas")</f>
        <v>42</v>
      </c>
      <c r="D14">
        <f>SUMIF('Sales Data'!C2:C601,"Adidas",'Sales Data'!I2:I601)</f>
        <v>248500</v>
      </c>
    </row>
    <row r="15" spans="2:4" x14ac:dyDescent="0.3">
      <c r="B15" t="s">
        <v>91</v>
      </c>
      <c r="C15">
        <f>COUNTIF('Sales Data'!C2:C601,"Mickey")</f>
        <v>39</v>
      </c>
      <c r="D15">
        <f>SUMIF('Sales Data'!C2:C601,"MIckey",'Sales Data'!I2:I601)</f>
        <v>258000</v>
      </c>
    </row>
    <row r="16" spans="2:4" x14ac:dyDescent="0.3">
      <c r="B16" t="s">
        <v>92</v>
      </c>
      <c r="C16">
        <f>COUNTIF('Sales Data'!C2:C601,"Nike")</f>
        <v>36</v>
      </c>
      <c r="D16">
        <f>SUMIF('Sales Data'!C2:C601,"Nike",'Sales Data'!I2:I601)</f>
        <v>257000</v>
      </c>
    </row>
    <row r="17" spans="2:4" x14ac:dyDescent="0.3">
      <c r="B17" t="s">
        <v>93</v>
      </c>
      <c r="C17">
        <f>COUNTIF('Sales Data'!C2:C601,"Strawberry")</f>
        <v>47</v>
      </c>
      <c r="D17">
        <f>SUMIF('Sales Data'!C2:C601,"Strawberry",'Sales Data'!I2:I601)</f>
        <v>291500</v>
      </c>
    </row>
    <row r="18" spans="2:4" x14ac:dyDescent="0.3">
      <c r="B18" t="s">
        <v>94</v>
      </c>
      <c r="C18">
        <f>SUM(C3:C17)</f>
        <v>600</v>
      </c>
    </row>
    <row r="22" spans="2:4" x14ac:dyDescent="0.3">
      <c r="B22" t="s">
        <v>97</v>
      </c>
      <c r="C22" t="s">
        <v>98</v>
      </c>
    </row>
    <row r="23" spans="2:4" x14ac:dyDescent="0.3">
      <c r="B23" t="s">
        <v>99</v>
      </c>
      <c r="C23">
        <f>SUMIF('Sales Data'!B2:B601,"Cartoon Stickers",'Sales Data'!H2:H601)</f>
        <v>3264000</v>
      </c>
    </row>
    <row r="24" spans="2:4" x14ac:dyDescent="0.3">
      <c r="B24" t="s">
        <v>100</v>
      </c>
      <c r="C24">
        <f>SUMIF('Sales Data'!B2:B601,"Logo Stickers",'Sales Data'!H2:H601)</f>
        <v>3437000</v>
      </c>
    </row>
    <row r="25" spans="2:4" x14ac:dyDescent="0.3">
      <c r="B25" t="s">
        <v>101</v>
      </c>
      <c r="C25">
        <f>SUMIF('Sales Data'!B2:B601,"Custom Design Stickers",'Sales Data'!H2:H601)</f>
        <v>3484000</v>
      </c>
    </row>
    <row r="40" spans="2:4" x14ac:dyDescent="0.3">
      <c r="B40" t="s">
        <v>78</v>
      </c>
      <c r="C40" t="s">
        <v>102</v>
      </c>
      <c r="D40" t="s">
        <v>103</v>
      </c>
    </row>
    <row r="41" spans="2:4" x14ac:dyDescent="0.3">
      <c r="B41" t="s">
        <v>29</v>
      </c>
      <c r="C41">
        <f>SUMIF('Sales Data'!C2:C601,"Doraemon",'Sales Data'!H2:H601)</f>
        <v>938000</v>
      </c>
      <c r="D41">
        <f>SUM($C$41:C41)/SUM($C$41:$C$55)</f>
        <v>9.2096219931271484E-2</v>
      </c>
    </row>
    <row r="42" spans="2:4" x14ac:dyDescent="0.3">
      <c r="B42" t="s">
        <v>31</v>
      </c>
      <c r="C42">
        <f>SUMIF('Sales Data'!C2:C601,"Shinchan",'Sales Data'!H2:H601)</f>
        <v>825500</v>
      </c>
      <c r="D42">
        <f>SUM($C$41:C42)/SUM($C$41:$C$55)</f>
        <v>0.17314678448699067</v>
      </c>
    </row>
    <row r="43" spans="2:4" x14ac:dyDescent="0.3">
      <c r="B43" t="s">
        <v>28</v>
      </c>
      <c r="C43">
        <f>SUMIF('Sales Data'!C2:C601,"Car",'Sales Data'!H2:H601)</f>
        <v>820500</v>
      </c>
      <c r="D43">
        <f>SUM($C$41:C43)/SUM($C$41:$C$55)</f>
        <v>0.25370643102601864</v>
      </c>
    </row>
    <row r="44" spans="2:4" x14ac:dyDescent="0.3">
      <c r="B44" t="s">
        <v>35</v>
      </c>
      <c r="C44">
        <f>SUMIF('Sales Data'!C2:C601,"Avinash",'Sales Data'!H2:H601)</f>
        <v>801000</v>
      </c>
      <c r="D44">
        <f>SUM($C$41:C44)/SUM($C$41:$C$55)</f>
        <v>0.33235149729995089</v>
      </c>
    </row>
    <row r="45" spans="2:4" x14ac:dyDescent="0.3">
      <c r="B45" t="s">
        <v>33</v>
      </c>
      <c r="C45">
        <f>SUMIF('Sales Data'!C2:C601,"Flower",'Sales Data'!H2:H601)</f>
        <v>795500</v>
      </c>
      <c r="D45">
        <f>SUM($C$41:C45)/SUM($C$41:$C$55)</f>
        <v>0.41045655375552281</v>
      </c>
    </row>
    <row r="46" spans="2:4" x14ac:dyDescent="0.3">
      <c r="B46" t="s">
        <v>30</v>
      </c>
      <c r="C46">
        <f>SUMIF('Sales Data'!C2:C601,"Adidas",'Sales Data'!H2:H601)</f>
        <v>778500</v>
      </c>
      <c r="D46">
        <f>SUM($C$41:C46)/SUM($C$41:$C$55)</f>
        <v>0.48689248895434462</v>
      </c>
    </row>
    <row r="47" spans="2:4" x14ac:dyDescent="0.3">
      <c r="B47" t="s">
        <v>39</v>
      </c>
      <c r="C47">
        <f>SUMIF('Sales Data'!C2:C601,"Ankit",'Sales Data'!H2:H601)</f>
        <v>690500</v>
      </c>
      <c r="D47">
        <f>SUM($C$41:C47)/SUM($C$41:$C$55)</f>
        <v>0.55468826705940111</v>
      </c>
    </row>
    <row r="48" spans="2:4" x14ac:dyDescent="0.3">
      <c r="B48" t="s">
        <v>25</v>
      </c>
      <c r="C48">
        <f>SUMIF('Sales Data'!C2:C601,"Strawberry",'Sales Data'!H2:H601)</f>
        <v>682000</v>
      </c>
      <c r="D48">
        <f>SUM($C$41:C48)/SUM($C$41:$C$55)</f>
        <v>0.62164948453608249</v>
      </c>
    </row>
    <row r="49" spans="2:4" x14ac:dyDescent="0.3">
      <c r="B49" t="s">
        <v>34</v>
      </c>
      <c r="C49">
        <f>SUMIF('Sales Data'!C2:C601,"Monkey",'Sales Data'!H2:H601)</f>
        <v>622000</v>
      </c>
      <c r="D49">
        <f>SUM($C$41:C49)/SUM($C$41:$C$55)</f>
        <v>0.68271968581246933</v>
      </c>
    </row>
    <row r="50" spans="2:4" x14ac:dyDescent="0.3">
      <c r="B50" t="s">
        <v>36</v>
      </c>
      <c r="C50">
        <f>SUMIF('Sales Data'!C2:C601,"X",'Sales Data'!H2:H601)</f>
        <v>588000</v>
      </c>
      <c r="D50">
        <f>SUM($C$41:C50)/SUM($C$41:$C$55)</f>
        <v>0.74045164457535595</v>
      </c>
    </row>
    <row r="51" spans="2:4" x14ac:dyDescent="0.3">
      <c r="B51" t="s">
        <v>32</v>
      </c>
      <c r="C51">
        <f>SUMIF('Sales Data'!C2:C601,"Nike",'Sales Data'!H2:H601)</f>
        <v>579000</v>
      </c>
      <c r="D51">
        <f>SUM($C$41:C51)/SUM($C$41:$C$55)</f>
        <v>0.79729995090819838</v>
      </c>
    </row>
    <row r="52" spans="2:4" x14ac:dyDescent="0.3">
      <c r="B52" t="s">
        <v>37</v>
      </c>
      <c r="C52">
        <f>SUMIF('Sales Data'!C2:C601,"House",'Sales Data'!H2:H601)</f>
        <v>564000</v>
      </c>
      <c r="D52">
        <f>SUM($C$41:C52)/SUM($C$41:$C$55)</f>
        <v>0.85267550319096708</v>
      </c>
    </row>
    <row r="53" spans="2:4" x14ac:dyDescent="0.3">
      <c r="B53" t="s">
        <v>26</v>
      </c>
      <c r="C53">
        <f>SUMIF('Sales Data'!C2:C601,"Mickey",'Sales Data'!H2:H601)</f>
        <v>533000</v>
      </c>
      <c r="D53">
        <f>SUM($C$41:C53)/SUM($C$41:$C$55)</f>
        <v>0.90500736377025037</v>
      </c>
    </row>
    <row r="54" spans="2:4" x14ac:dyDescent="0.3">
      <c r="B54" t="s">
        <v>27</v>
      </c>
      <c r="C54">
        <f>SUMIF('Sales Data'!C2:C601,"Nobita",'Sales Data'!H2:H601)</f>
        <v>516000</v>
      </c>
      <c r="D54">
        <f>SUM($C$41:C54)/SUM($C$41:$C$55)</f>
        <v>0.95567010309278355</v>
      </c>
    </row>
    <row r="55" spans="2:4" x14ac:dyDescent="0.3">
      <c r="B55" t="s">
        <v>38</v>
      </c>
      <c r="C55">
        <f>SUMIF('Sales Data'!C2:C601,"Perman",'Sales Data'!H2:H601)</f>
        <v>451500</v>
      </c>
      <c r="D55">
        <f>SUM($C$41:C55)/SUM($C$41:$C$55)</f>
        <v>1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E3" sqref="E3"/>
    </sheetView>
  </sheetViews>
  <sheetFormatPr defaultRowHeight="14.4" x14ac:dyDescent="0.3"/>
  <cols>
    <col min="2" max="2" width="16.5546875" customWidth="1"/>
    <col min="3" max="3" width="24.109375" customWidth="1"/>
    <col min="4" max="4" width="18.33203125" customWidth="1"/>
    <col min="5" max="5" width="19.109375" customWidth="1"/>
    <col min="6" max="6" width="16.33203125" customWidth="1"/>
  </cols>
  <sheetData>
    <row r="1" spans="1:6" x14ac:dyDescent="0.3">
      <c r="A1" s="1" t="s">
        <v>6</v>
      </c>
      <c r="B1" s="1" t="s">
        <v>0</v>
      </c>
      <c r="C1" s="1" t="s">
        <v>40</v>
      </c>
      <c r="D1" s="1" t="s">
        <v>41</v>
      </c>
      <c r="E1" s="1" t="s">
        <v>42</v>
      </c>
      <c r="F1" s="4" t="s">
        <v>54</v>
      </c>
    </row>
    <row r="2" spans="1:6" x14ac:dyDescent="0.3">
      <c r="A2" t="s">
        <v>13</v>
      </c>
      <c r="B2" t="s">
        <v>9</v>
      </c>
      <c r="C2">
        <v>1175</v>
      </c>
      <c r="D2">
        <v>96</v>
      </c>
      <c r="E2">
        <f>(D2/C2)*100</f>
        <v>8.1702127659574462</v>
      </c>
      <c r="F2" s="3">
        <v>0.08</v>
      </c>
    </row>
    <row r="3" spans="1:6" x14ac:dyDescent="0.3">
      <c r="A3" t="s">
        <v>13</v>
      </c>
      <c r="B3" t="s">
        <v>7</v>
      </c>
      <c r="C3">
        <v>1529</v>
      </c>
      <c r="D3">
        <v>91</v>
      </c>
      <c r="E3">
        <f t="shared" ref="E3:E13" si="0">(D3/C3)*100</f>
        <v>5.9516023544800527</v>
      </c>
      <c r="F3" s="3">
        <v>0.06</v>
      </c>
    </row>
    <row r="4" spans="1:6" x14ac:dyDescent="0.3">
      <c r="A4" t="s">
        <v>13</v>
      </c>
      <c r="B4" t="s">
        <v>8</v>
      </c>
      <c r="C4">
        <v>985</v>
      </c>
      <c r="D4">
        <v>80</v>
      </c>
      <c r="E4">
        <f t="shared" si="0"/>
        <v>8.1218274111675122</v>
      </c>
      <c r="F4" s="3">
        <v>0.08</v>
      </c>
    </row>
    <row r="5" spans="1:6" x14ac:dyDescent="0.3">
      <c r="A5" t="s">
        <v>13</v>
      </c>
      <c r="B5" t="s">
        <v>10</v>
      </c>
      <c r="C5">
        <v>942</v>
      </c>
      <c r="D5">
        <v>65</v>
      </c>
      <c r="E5">
        <f t="shared" si="0"/>
        <v>6.9002123142250529</v>
      </c>
      <c r="F5" s="3">
        <v>7.0000000000000007E-2</v>
      </c>
    </row>
    <row r="6" spans="1:6" x14ac:dyDescent="0.3">
      <c r="A6" t="s">
        <v>11</v>
      </c>
      <c r="B6" t="s">
        <v>9</v>
      </c>
      <c r="C6">
        <v>1121</v>
      </c>
      <c r="D6">
        <v>105</v>
      </c>
      <c r="E6">
        <f t="shared" si="0"/>
        <v>9.36663693131133</v>
      </c>
      <c r="F6" s="3">
        <v>0.09</v>
      </c>
    </row>
    <row r="7" spans="1:6" x14ac:dyDescent="0.3">
      <c r="A7" t="s">
        <v>11</v>
      </c>
      <c r="B7" t="s">
        <v>7</v>
      </c>
      <c r="C7">
        <v>642</v>
      </c>
      <c r="D7">
        <v>50</v>
      </c>
      <c r="E7">
        <f t="shared" si="0"/>
        <v>7.7881619937694699</v>
      </c>
      <c r="F7" s="3">
        <v>7.0000000000000007E-2</v>
      </c>
    </row>
    <row r="8" spans="1:6" x14ac:dyDescent="0.3">
      <c r="A8" t="s">
        <v>11</v>
      </c>
      <c r="B8" t="s">
        <v>8</v>
      </c>
      <c r="C8">
        <v>1066</v>
      </c>
      <c r="D8">
        <v>85</v>
      </c>
      <c r="E8">
        <f t="shared" si="0"/>
        <v>7.9737335834896808</v>
      </c>
      <c r="F8" s="3">
        <v>0.08</v>
      </c>
    </row>
    <row r="9" spans="1:6" x14ac:dyDescent="0.3">
      <c r="A9" t="s">
        <v>11</v>
      </c>
      <c r="B9" t="s">
        <v>10</v>
      </c>
      <c r="C9">
        <v>411</v>
      </c>
      <c r="D9">
        <v>11</v>
      </c>
      <c r="E9">
        <f t="shared" si="0"/>
        <v>2.6763990267639901</v>
      </c>
      <c r="F9" s="3">
        <v>0.02</v>
      </c>
    </row>
    <row r="10" spans="1:6" x14ac:dyDescent="0.3">
      <c r="A10" t="s">
        <v>12</v>
      </c>
      <c r="B10" t="s">
        <v>9</v>
      </c>
      <c r="C10">
        <v>1045</v>
      </c>
      <c r="D10">
        <v>92</v>
      </c>
      <c r="E10">
        <f t="shared" si="0"/>
        <v>8.803827751196172</v>
      </c>
      <c r="F10" s="3">
        <v>0.09</v>
      </c>
    </row>
    <row r="11" spans="1:6" x14ac:dyDescent="0.3">
      <c r="A11" t="s">
        <v>12</v>
      </c>
      <c r="B11" t="s">
        <v>7</v>
      </c>
      <c r="C11">
        <v>828</v>
      </c>
      <c r="D11">
        <v>67</v>
      </c>
      <c r="E11">
        <f t="shared" si="0"/>
        <v>8.0917874396135261</v>
      </c>
      <c r="F11" s="3">
        <v>0.08</v>
      </c>
    </row>
    <row r="12" spans="1:6" x14ac:dyDescent="0.3">
      <c r="A12" t="s">
        <v>12</v>
      </c>
      <c r="B12" t="s">
        <v>8</v>
      </c>
      <c r="C12">
        <v>624</v>
      </c>
      <c r="D12">
        <v>25</v>
      </c>
      <c r="E12">
        <f t="shared" si="0"/>
        <v>4.0064102564102564</v>
      </c>
      <c r="F12" s="3">
        <v>0.04</v>
      </c>
    </row>
    <row r="13" spans="1:6" x14ac:dyDescent="0.3">
      <c r="A13" t="s">
        <v>12</v>
      </c>
      <c r="B13" t="s">
        <v>10</v>
      </c>
      <c r="C13">
        <v>1005</v>
      </c>
      <c r="D13">
        <v>86</v>
      </c>
      <c r="E13">
        <f t="shared" si="0"/>
        <v>8.5572139303482597</v>
      </c>
      <c r="F13" s="3">
        <v>0.08</v>
      </c>
    </row>
  </sheetData>
  <conditionalFormatting sqref="E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F7128"/>
        <color rgb="FFFFEF9C"/>
      </colorScale>
    </cfRule>
  </conditionalFormatting>
  <conditionalFormatting sqref="E1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6553-3724-4982-B07D-8A8BA02B29C0}">
  <dimension ref="B2:D24"/>
  <sheetViews>
    <sheetView workbookViewId="0">
      <selection activeCell="P20" sqref="P20"/>
    </sheetView>
  </sheetViews>
  <sheetFormatPr defaultRowHeight="14.4" x14ac:dyDescent="0.3"/>
  <cols>
    <col min="2" max="2" width="13.77734375" customWidth="1"/>
    <col min="3" max="3" width="12.44140625" customWidth="1"/>
    <col min="4" max="4" width="17.6640625" customWidth="1"/>
  </cols>
  <sheetData>
    <row r="2" spans="2:4" x14ac:dyDescent="0.3">
      <c r="B2" t="s">
        <v>104</v>
      </c>
      <c r="C2" t="s">
        <v>106</v>
      </c>
      <c r="D2" t="s">
        <v>107</v>
      </c>
    </row>
    <row r="3" spans="2:4" x14ac:dyDescent="0.3">
      <c r="B3" t="s">
        <v>9</v>
      </c>
      <c r="C3">
        <f>SUMIF('Waste Data'!B2:B13,"Adhesive",'Waste Data'!D2:D13)</f>
        <v>293</v>
      </c>
      <c r="D3">
        <f>AVERAGEIF('Waste Data'!B2:B13, "Adhesive", 'Waste Data'!E2:E13)</f>
        <v>8.7802258161549833</v>
      </c>
    </row>
    <row r="4" spans="2:4" x14ac:dyDescent="0.3">
      <c r="B4" t="s">
        <v>7</v>
      </c>
      <c r="C4">
        <f>SUMIF('Waste Data'!B2:B13,"Ink",'Waste Data'!D2:D13)</f>
        <v>208</v>
      </c>
      <c r="D4">
        <f>AVERAGEIF('Waste Data'!B2:B13, "Ink", 'Waste Data'!E2:E13)</f>
        <v>7.2771839292876832</v>
      </c>
    </row>
    <row r="5" spans="2:4" x14ac:dyDescent="0.3">
      <c r="B5" t="s">
        <v>105</v>
      </c>
      <c r="C5">
        <f>SUMIF('Waste Data'!B2:B13,"Silicone",'Waste Data'!D2:D13)</f>
        <v>190</v>
      </c>
      <c r="D5">
        <f>AVERAGEIF('Waste Data'!B2:B13, "Silicone", 'Waste Data'!E2:E13)</f>
        <v>6.7006570836891486</v>
      </c>
    </row>
    <row r="6" spans="2:4" x14ac:dyDescent="0.3">
      <c r="B6" t="s">
        <v>10</v>
      </c>
      <c r="C6">
        <f>SUMIF('Waste Data'!B2:B13,"vinyl",'Waste Data'!D2:D13)</f>
        <v>162</v>
      </c>
      <c r="D6">
        <f>AVERAGEIF('Waste Data'!B2:B13, "Vinyl", 'Waste Data'!E2:E13)</f>
        <v>6.0446084237791</v>
      </c>
    </row>
    <row r="21" spans="2:3" x14ac:dyDescent="0.3">
      <c r="B21" t="s">
        <v>108</v>
      </c>
      <c r="C21" t="s">
        <v>106</v>
      </c>
    </row>
    <row r="22" spans="2:3" x14ac:dyDescent="0.3">
      <c r="B22" t="s">
        <v>109</v>
      </c>
      <c r="C22">
        <f>SUMIF('Waste Data'!A2:A13,"2024-10",'Waste Data'!D2:D13)</f>
        <v>332</v>
      </c>
    </row>
    <row r="23" spans="2:3" x14ac:dyDescent="0.3">
      <c r="B23" t="s">
        <v>110</v>
      </c>
      <c r="C23">
        <f>SUMIF('Waste Data'!A2:A13,"2024-11",'Waste Data'!D2:D13)</f>
        <v>251</v>
      </c>
    </row>
    <row r="24" spans="2:3" x14ac:dyDescent="0.3">
      <c r="B24" t="s">
        <v>111</v>
      </c>
      <c r="C24">
        <f>SUMIF('Waste Data'!A2:A13,"2024-12",'Waste Data'!D2:D13)</f>
        <v>270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activeCell="E2" sqref="E2"/>
    </sheetView>
  </sheetViews>
  <sheetFormatPr defaultRowHeight="14.4" x14ac:dyDescent="0.3"/>
  <cols>
    <col min="1" max="1" width="22.21875" customWidth="1"/>
    <col min="2" max="2" width="22.109375" customWidth="1"/>
    <col min="3" max="3" width="13.5546875" customWidth="1"/>
    <col min="4" max="4" width="15.6640625" customWidth="1"/>
    <col min="5" max="5" width="12.21875" customWidth="1"/>
    <col min="6" max="6" width="16.88671875" customWidth="1"/>
  </cols>
  <sheetData>
    <row r="1" spans="1:6" x14ac:dyDescent="0.3">
      <c r="A1" s="1" t="s">
        <v>43</v>
      </c>
      <c r="B1" s="1" t="s">
        <v>15</v>
      </c>
      <c r="C1" s="1" t="s">
        <v>44</v>
      </c>
      <c r="D1" s="1" t="s">
        <v>45</v>
      </c>
      <c r="E1" s="1" t="s">
        <v>46</v>
      </c>
      <c r="F1" s="11"/>
    </row>
    <row r="2" spans="1:6" x14ac:dyDescent="0.3">
      <c r="A2" t="s">
        <v>47</v>
      </c>
      <c r="B2" t="s">
        <v>23</v>
      </c>
      <c r="C2" t="s">
        <v>13</v>
      </c>
      <c r="D2" t="s">
        <v>50</v>
      </c>
      <c r="E2">
        <v>16</v>
      </c>
    </row>
    <row r="3" spans="1:6" x14ac:dyDescent="0.3">
      <c r="A3" t="s">
        <v>47</v>
      </c>
      <c r="B3" t="s">
        <v>24</v>
      </c>
      <c r="C3" t="s">
        <v>13</v>
      </c>
      <c r="D3" t="s">
        <v>50</v>
      </c>
      <c r="E3">
        <v>10</v>
      </c>
    </row>
    <row r="4" spans="1:6" x14ac:dyDescent="0.3">
      <c r="A4" t="s">
        <v>47</v>
      </c>
      <c r="B4" t="s">
        <v>22</v>
      </c>
      <c r="C4" t="s">
        <v>13</v>
      </c>
      <c r="D4" t="s">
        <v>50</v>
      </c>
      <c r="E4">
        <v>13</v>
      </c>
    </row>
    <row r="5" spans="1:6" x14ac:dyDescent="0.3">
      <c r="A5" t="s">
        <v>47</v>
      </c>
      <c r="B5" t="s">
        <v>23</v>
      </c>
      <c r="C5" t="s">
        <v>11</v>
      </c>
      <c r="D5" t="s">
        <v>50</v>
      </c>
      <c r="E5">
        <v>7</v>
      </c>
    </row>
    <row r="6" spans="1:6" x14ac:dyDescent="0.3">
      <c r="A6" t="s">
        <v>47</v>
      </c>
      <c r="B6" t="s">
        <v>24</v>
      </c>
      <c r="C6" t="s">
        <v>11</v>
      </c>
      <c r="D6" t="s">
        <v>50</v>
      </c>
      <c r="E6">
        <v>17</v>
      </c>
    </row>
    <row r="7" spans="1:6" x14ac:dyDescent="0.3">
      <c r="A7" t="s">
        <v>47</v>
      </c>
      <c r="B7" t="s">
        <v>22</v>
      </c>
      <c r="C7" t="s">
        <v>11</v>
      </c>
      <c r="D7" t="s">
        <v>50</v>
      </c>
      <c r="E7">
        <v>9</v>
      </c>
    </row>
    <row r="8" spans="1:6" x14ac:dyDescent="0.3">
      <c r="A8" t="s">
        <v>47</v>
      </c>
      <c r="B8" t="s">
        <v>23</v>
      </c>
      <c r="C8" t="s">
        <v>12</v>
      </c>
      <c r="D8" t="s">
        <v>50</v>
      </c>
      <c r="E8">
        <v>10</v>
      </c>
    </row>
    <row r="9" spans="1:6" x14ac:dyDescent="0.3">
      <c r="A9" t="s">
        <v>47</v>
      </c>
      <c r="B9" t="s">
        <v>24</v>
      </c>
      <c r="C9" t="s">
        <v>12</v>
      </c>
      <c r="D9" t="s">
        <v>50</v>
      </c>
      <c r="E9">
        <v>18</v>
      </c>
    </row>
    <row r="10" spans="1:6" x14ac:dyDescent="0.3">
      <c r="A10" t="s">
        <v>47</v>
      </c>
      <c r="B10" t="s">
        <v>22</v>
      </c>
      <c r="C10" t="s">
        <v>12</v>
      </c>
      <c r="D10" t="s">
        <v>50</v>
      </c>
      <c r="E10">
        <v>17</v>
      </c>
    </row>
    <row r="11" spans="1:6" x14ac:dyDescent="0.3">
      <c r="A11" t="s">
        <v>48</v>
      </c>
      <c r="B11" t="s">
        <v>23</v>
      </c>
      <c r="C11" t="s">
        <v>13</v>
      </c>
      <c r="D11" t="s">
        <v>51</v>
      </c>
      <c r="E11">
        <v>13</v>
      </c>
    </row>
    <row r="12" spans="1:6" x14ac:dyDescent="0.3">
      <c r="A12" t="s">
        <v>48</v>
      </c>
      <c r="B12" t="s">
        <v>24</v>
      </c>
      <c r="C12" t="s">
        <v>13</v>
      </c>
      <c r="D12" t="s">
        <v>51</v>
      </c>
      <c r="E12">
        <v>16</v>
      </c>
    </row>
    <row r="13" spans="1:6" x14ac:dyDescent="0.3">
      <c r="A13" t="s">
        <v>48</v>
      </c>
      <c r="B13" t="s">
        <v>22</v>
      </c>
      <c r="C13" t="s">
        <v>13</v>
      </c>
      <c r="D13" t="s">
        <v>51</v>
      </c>
      <c r="E13">
        <v>11</v>
      </c>
    </row>
    <row r="14" spans="1:6" x14ac:dyDescent="0.3">
      <c r="A14" t="s">
        <v>48</v>
      </c>
      <c r="B14" t="s">
        <v>24</v>
      </c>
      <c r="C14" t="s">
        <v>11</v>
      </c>
      <c r="D14" t="s">
        <v>51</v>
      </c>
      <c r="E14">
        <v>20</v>
      </c>
    </row>
    <row r="15" spans="1:6" x14ac:dyDescent="0.3">
      <c r="A15" t="s">
        <v>48</v>
      </c>
      <c r="B15" t="s">
        <v>22</v>
      </c>
      <c r="C15" t="s">
        <v>11</v>
      </c>
      <c r="D15" t="s">
        <v>51</v>
      </c>
      <c r="E15">
        <v>19</v>
      </c>
    </row>
    <row r="16" spans="1:6" x14ac:dyDescent="0.3">
      <c r="A16" t="s">
        <v>48</v>
      </c>
      <c r="B16" t="s">
        <v>23</v>
      </c>
      <c r="C16" t="s">
        <v>12</v>
      </c>
      <c r="D16" t="s">
        <v>51</v>
      </c>
      <c r="E16">
        <v>9</v>
      </c>
    </row>
    <row r="17" spans="1:5" x14ac:dyDescent="0.3">
      <c r="A17" t="s">
        <v>48</v>
      </c>
      <c r="B17" t="s">
        <v>24</v>
      </c>
      <c r="C17" t="s">
        <v>12</v>
      </c>
      <c r="D17" t="s">
        <v>51</v>
      </c>
      <c r="E17">
        <v>13</v>
      </c>
    </row>
    <row r="18" spans="1:5" x14ac:dyDescent="0.3">
      <c r="A18" t="s">
        <v>49</v>
      </c>
      <c r="B18" t="s">
        <v>23</v>
      </c>
      <c r="C18" t="s">
        <v>13</v>
      </c>
      <c r="D18" t="s">
        <v>50</v>
      </c>
      <c r="E18">
        <v>14</v>
      </c>
    </row>
    <row r="19" spans="1:5" x14ac:dyDescent="0.3">
      <c r="A19" t="s">
        <v>49</v>
      </c>
      <c r="B19" t="s">
        <v>24</v>
      </c>
      <c r="C19" t="s">
        <v>13</v>
      </c>
      <c r="D19" t="s">
        <v>50</v>
      </c>
      <c r="E19">
        <v>8</v>
      </c>
    </row>
    <row r="20" spans="1:5" x14ac:dyDescent="0.3">
      <c r="A20" t="s">
        <v>49</v>
      </c>
      <c r="B20" t="s">
        <v>22</v>
      </c>
      <c r="C20" t="s">
        <v>13</v>
      </c>
      <c r="D20" t="s">
        <v>50</v>
      </c>
      <c r="E20">
        <v>16</v>
      </c>
    </row>
    <row r="21" spans="1:5" x14ac:dyDescent="0.3">
      <c r="A21" t="s">
        <v>49</v>
      </c>
      <c r="B21" t="s">
        <v>23</v>
      </c>
      <c r="C21" t="s">
        <v>11</v>
      </c>
      <c r="D21" t="s">
        <v>50</v>
      </c>
      <c r="E21">
        <v>4</v>
      </c>
    </row>
    <row r="22" spans="1:5" x14ac:dyDescent="0.3">
      <c r="A22" t="s">
        <v>49</v>
      </c>
      <c r="B22" t="s">
        <v>22</v>
      </c>
      <c r="C22" t="s">
        <v>11</v>
      </c>
      <c r="D22" t="s">
        <v>50</v>
      </c>
      <c r="E22">
        <v>9</v>
      </c>
    </row>
    <row r="23" spans="1:5" x14ac:dyDescent="0.3">
      <c r="A23" t="s">
        <v>49</v>
      </c>
      <c r="B23" t="s">
        <v>23</v>
      </c>
      <c r="C23" t="s">
        <v>12</v>
      </c>
      <c r="D23" t="s">
        <v>50</v>
      </c>
      <c r="E2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D4DB-5C93-4BE0-80A1-D3DCBBDC8FCC}">
  <dimension ref="C2:D17"/>
  <sheetViews>
    <sheetView topLeftCell="B1" workbookViewId="0">
      <selection activeCell="N25" sqref="N25"/>
    </sheetView>
  </sheetViews>
  <sheetFormatPr defaultRowHeight="14.4" x14ac:dyDescent="0.3"/>
  <cols>
    <col min="3" max="3" width="20.6640625" customWidth="1"/>
    <col min="4" max="4" width="13.77734375" customWidth="1"/>
  </cols>
  <sheetData>
    <row r="2" spans="3:4" x14ac:dyDescent="0.3">
      <c r="C2" t="s">
        <v>112</v>
      </c>
      <c r="D2" t="s">
        <v>113</v>
      </c>
    </row>
    <row r="3" spans="3:4" x14ac:dyDescent="0.3">
      <c r="C3" t="s">
        <v>47</v>
      </c>
      <c r="D3">
        <f xml:space="preserve"> COUNTIF('Competitor Data'!A2:A23,"LabelX")</f>
        <v>9</v>
      </c>
    </row>
    <row r="4" spans="3:4" x14ac:dyDescent="0.3">
      <c r="C4" t="s">
        <v>48</v>
      </c>
      <c r="D4">
        <f xml:space="preserve"> COUNTIF('Competitor Data'!A2:A23,"FootMark Labels")</f>
        <v>7</v>
      </c>
    </row>
    <row r="5" spans="3:4" x14ac:dyDescent="0.3">
      <c r="C5" t="s">
        <v>49</v>
      </c>
      <c r="D5">
        <f xml:space="preserve"> COUNTIF('Competitor Data'!A2:A23,"InstaSticker")</f>
        <v>6</v>
      </c>
    </row>
    <row r="14" spans="3:4" x14ac:dyDescent="0.3">
      <c r="C14" t="s">
        <v>114</v>
      </c>
      <c r="D14" t="s">
        <v>118</v>
      </c>
    </row>
    <row r="15" spans="3:4" x14ac:dyDescent="0.3">
      <c r="C15" t="s">
        <v>115</v>
      </c>
      <c r="D15">
        <f xml:space="preserve"> AVERAGEIF('Competitor Data'!B2:B23,"Cartoon Stickers",'Competitor Data'!E2:E23)</f>
        <v>9.75</v>
      </c>
    </row>
    <row r="16" spans="3:4" x14ac:dyDescent="0.3">
      <c r="C16" t="s">
        <v>116</v>
      </c>
      <c r="D16">
        <f xml:space="preserve"> AVERAGEIF('Competitor Data'!B2:B23,"Logo Stickers",'Competitor Data'!E2:E23)</f>
        <v>14.571428571428571</v>
      </c>
    </row>
    <row r="17" spans="3:4" x14ac:dyDescent="0.3">
      <c r="C17" t="s">
        <v>117</v>
      </c>
      <c r="D17">
        <f xml:space="preserve"> AVERAGEIF('Competitor Data'!B2:B23,"Custom Design Stickers",'Competitor Data'!E2:E23)</f>
        <v>13.428571428571429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Inventory Data</vt:lpstr>
      <vt:lpstr>ANALYSIS 1</vt:lpstr>
      <vt:lpstr>Sales Data</vt:lpstr>
      <vt:lpstr>ANALYSIS 2</vt:lpstr>
      <vt:lpstr>Waste Data</vt:lpstr>
      <vt:lpstr>ANALYSIS 3</vt:lpstr>
      <vt:lpstr>Competitor Data</vt:lpstr>
      <vt:lpstr>ANALYSIS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</dc:creator>
  <cp:lastModifiedBy>Paras  Jain</cp:lastModifiedBy>
  <dcterms:created xsi:type="dcterms:W3CDTF">2025-05-16T15:52:12Z</dcterms:created>
  <dcterms:modified xsi:type="dcterms:W3CDTF">2025-06-09T17:03:48Z</dcterms:modified>
</cp:coreProperties>
</file>